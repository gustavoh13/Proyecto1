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g1_Flow" sheetId="2" state="visible" r:id="rId4"/>
    <sheet name="Fig2_Annual" sheetId="3" state="visible" r:id="rId5"/>
    <sheet name="Fig3_Countries" sheetId="4" state="visible" r:id="rId6"/>
    <sheet name="Fig4_Objects" sheetId="5" state="visible" r:id="rId7"/>
    <sheet name="Fig5_Heatmap" sheetId="6" state="visible" r:id="rId8"/>
    <sheet name="Table1_Eligibility" sheetId="7" state="visible" r:id="rId9"/>
    <sheet name="Table2_Agreement" sheetId="8" state="visible" r:id="rId10"/>
    <sheet name="Table3_Level_design" sheetId="9" state="visible" r:id="rId11"/>
    <sheet name="Table4_Traditions" sheetId="10" state="visible" r:id="rId12"/>
    <sheet name="Table5_Robustness" sheetId="11" state="visible" r:id="rId13"/>
    <sheet name="Table6_Practices" sheetId="12" state="visible" r:id="rId14"/>
    <sheet name="Table7_Most_cited" sheetId="13" state="visible" r:id="rId15"/>
    <sheet name="Table8_Validation" sheetId="14" state="visible" r:id="rId16"/>
    <sheet name="S1_Included" sheetId="15" state="visible" r:id="rId17"/>
    <sheet name="S2_Screening" sheetId="16" state="visible" r:id="rId18"/>
    <sheet name="S3_PRISMA-ScR" sheetId="17" state="visible" r:id="rId19"/>
  </sheets>
  <definedNames>
    <definedName function="false" hidden="true" localSheetId="14" name="_xlnm._FilterDatabase" vbProcedure="false">S1_Included!$A$3:$AJ$138</definedName>
    <definedName function="false" hidden="true" localSheetId="15" name="_xlnm._FilterDatabase" vbProcedure="false">S2_Screening!$A$3:$O$472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<sst xmlns="http://schemas.openxmlformats.org/spreadsheetml/2006/main" count="5211" uniqueCount="2012">
  <si>
    <t xml:space="preserve">Critical digital literacy in formal education, 2016–2026: figures, tables and supplementary data</t>
  </si>
  <si>
    <t xml:space="preserve">Source</t>
  </si>
  <si>
    <t xml:space="preserve">Scopus, search of 27 October 2026; 469 records, 135 included studies. Generated by revision-adc/libro_excel.py.</t>
  </si>
  <si>
    <t xml:space="preserve">Charts</t>
  </si>
  <si>
    <t xml:space="preserve">Fig2 to Fig5 hold native Excel charts. Edit the numbers in the sheet and the chart updates; edit titles, colours and axes as usual.</t>
  </si>
  <si>
    <t xml:space="preserve">Colours</t>
  </si>
  <si>
    <t xml:space="preserve">Blue numbers are typed inputs (counts, test statistics computed in analisis.py). Black numbers are formulas.</t>
  </si>
  <si>
    <t xml:space="preserve">Tables</t>
  </si>
  <si>
    <t xml:space="preserve">Table1 to Table8 reproduce the tables of the manuscript. Percentages, precision and sensitivity are formulas over the counts.</t>
  </si>
  <si>
    <t xml:space="preserve">Validation</t>
  </si>
  <si>
    <t xml:space="preserve">Table8_Validation compares dictionary codes with full-text codes; the full-text coding itself is in Supplementary file S5 (S5-full-text-coding.xlsx).</t>
  </si>
  <si>
    <t xml:space="preserve">S1_Included</t>
  </si>
  <si>
    <t xml:space="preserve">Supplementary file S1: the 135 included studies with bibliographic data and codes (1 = code present).</t>
  </si>
  <si>
    <t xml:space="preserve">S2_Screening</t>
  </si>
  <si>
    <t xml:space="preserve">The 469 records with both screening passes, the indicators and the final decision.</t>
  </si>
  <si>
    <t xml:space="preserve">Authors</t>
  </si>
  <si>
    <t xml:space="preserve">Full author lists come from Crossref, checked against ORCID and the journal page where Crossref was wrong or empty. Four studies that are not cited in the article still show only the first author and the number of co-authors.</t>
  </si>
  <si>
    <t xml:space="preserve">Figure 1. Two-pass selection of studies</t>
  </si>
  <si>
    <t xml:space="preserve">Counts in the flow diagram. Totals are formulas.</t>
  </si>
  <si>
    <t xml:space="preserve">Stage</t>
  </si>
  <si>
    <t xml:space="preserve">Records</t>
  </si>
  <si>
    <t xml:space="preserve">Records identified in Scopus</t>
  </si>
  <si>
    <t xml:space="preserve">Duplicates removed</t>
  </si>
  <si>
    <t xml:space="preserve">Pass 1 (titles): included</t>
  </si>
  <si>
    <t xml:space="preserve">Pass 1 (titles): excluded</t>
  </si>
  <si>
    <t xml:space="preserve">Pass 2 (abstracts and keywords): included</t>
  </si>
  <si>
    <t xml:space="preserve">Pass 2 (abstracts and keywords): excluded</t>
  </si>
  <si>
    <t xml:space="preserve">Agreement: both include</t>
  </si>
  <si>
    <t xml:space="preserve">Agreement: both exclude</t>
  </si>
  <si>
    <t xml:space="preserve">Disagreement: included, title names CDL</t>
  </si>
  <si>
    <t xml:space="preserve">Disagreement: included, two indicators</t>
  </si>
  <si>
    <t xml:space="preserve">Disagreement: excluded, insufficient evidence</t>
  </si>
  <si>
    <t xml:space="preserve">Disagreement: excluded, context or type</t>
  </si>
  <si>
    <t xml:space="preserve">Excluded: CDL not the focus</t>
  </si>
  <si>
    <t xml:space="preserve">Excluded: outside formal education</t>
  </si>
  <si>
    <t xml:space="preserve">Excluded: book reviews</t>
  </si>
  <si>
    <t xml:space="preserve">Second reviewer: disputed records read</t>
  </si>
  <si>
    <t xml:space="preserve">Second reviewer: agreed records sampled (20%)</t>
  </si>
  <si>
    <t xml:space="preserve">Second reviewer: decisions confirmed</t>
  </si>
  <si>
    <t xml:space="preserve">Studies included</t>
  </si>
  <si>
    <t xml:space="preserve">Records excluded</t>
  </si>
  <si>
    <t xml:space="preserve">Agreement between passes</t>
  </si>
  <si>
    <t xml:space="preserve">Cohen's kappa</t>
  </si>
  <si>
    <t xml:space="preserve">Second reviewer: agreement with final decisions</t>
  </si>
  <si>
    <t xml:space="preserve">Figure 2. Included studies per year by language, with the Poisson trend for 2016–2025</t>
  </si>
  <si>
    <t xml:space="preserve">Fitted values are formulas on the two model parameters (cells F4 and F5), estimated in analisis.py. 2026 covers 1 January to 27 October.</t>
  </si>
  <si>
    <t xml:space="preserve">Year</t>
  </si>
  <si>
    <t xml:space="preserve">English</t>
  </si>
  <si>
    <t xml:space="preserve">Spanish</t>
  </si>
  <si>
    <t xml:space="preserve">Total</t>
  </si>
  <si>
    <t xml:space="preserve">Poisson trend</t>
  </si>
  <si>
    <t xml:space="preserve">Value</t>
  </si>
  <si>
    <t xml:space="preserve">Parameter</t>
  </si>
  <si>
    <t xml:space="preserve">2016</t>
  </si>
  <si>
    <t xml:space="preserve">Intercept (a)</t>
  </si>
  <si>
    <t xml:space="preserve">2017</t>
  </si>
  <si>
    <t xml:space="preserve">Slope per year (b)</t>
  </si>
  <si>
    <t xml:space="preserve">2018</t>
  </si>
  <si>
    <t xml:space="preserve">Annual growth</t>
  </si>
  <si>
    <t xml:space="preserve">2019</t>
  </si>
  <si>
    <t xml:space="preserve">2020</t>
  </si>
  <si>
    <t xml:space="preserve">2021</t>
  </si>
  <si>
    <t xml:space="preserve">2022</t>
  </si>
  <si>
    <t xml:space="preserve">2023</t>
  </si>
  <si>
    <t xml:space="preserve">2024</t>
  </si>
  <si>
    <t xml:space="preserve">2025</t>
  </si>
  <si>
    <t xml:space="preserve">2026</t>
  </si>
  <si>
    <t xml:space="preserve">Figure 3. Countries and regions of author affiliation</t>
  </si>
  <si>
    <t xml:space="preserve">A study counts once for each country and region of its authors.</t>
  </si>
  <si>
    <t xml:space="preserve">Country</t>
  </si>
  <si>
    <t xml:space="preserve">Studies</t>
  </si>
  <si>
    <t xml:space="preserve">Region</t>
  </si>
  <si>
    <t xml:space="preserve">United States</t>
  </si>
  <si>
    <t xml:space="preserve">Europe</t>
  </si>
  <si>
    <t xml:space="preserve">Spain</t>
  </si>
  <si>
    <t xml:space="preserve">North America</t>
  </si>
  <si>
    <t xml:space="preserve">Canada</t>
  </si>
  <si>
    <t xml:space="preserve">Asia</t>
  </si>
  <si>
    <t xml:space="preserve">United Kingdom</t>
  </si>
  <si>
    <t xml:space="preserve">Latin America</t>
  </si>
  <si>
    <t xml:space="preserve">Hong Kong</t>
  </si>
  <si>
    <t xml:space="preserve">Oceania</t>
  </si>
  <si>
    <t xml:space="preserve">Australia</t>
  </si>
  <si>
    <t xml:space="preserve">Africa</t>
  </si>
  <si>
    <t xml:space="preserve">Indonesia</t>
  </si>
  <si>
    <t xml:space="preserve">China</t>
  </si>
  <si>
    <t xml:space="preserve">Turkey</t>
  </si>
  <si>
    <t xml:space="preserve">Singapore</t>
  </si>
  <si>
    <t xml:space="preserve">Sweden</t>
  </si>
  <si>
    <t xml:space="preserve">Germany</t>
  </si>
  <si>
    <t xml:space="preserve">South Africa</t>
  </si>
  <si>
    <t xml:space="preserve">South Korea</t>
  </si>
  <si>
    <t xml:space="preserve">Peru</t>
  </si>
  <si>
    <t xml:space="preserve">Chile</t>
  </si>
  <si>
    <t xml:space="preserve">Thailand</t>
  </si>
  <si>
    <t xml:space="preserve">Greece</t>
  </si>
  <si>
    <t xml:space="preserve">Austria</t>
  </si>
  <si>
    <t xml:space="preserve">Ecuador</t>
  </si>
  <si>
    <t xml:space="preserve">United Arab Emirates</t>
  </si>
  <si>
    <t xml:space="preserve">Ukraine</t>
  </si>
  <si>
    <t xml:space="preserve">Oman</t>
  </si>
  <si>
    <t xml:space="preserve">Pakistan</t>
  </si>
  <si>
    <t xml:space="preserve">India</t>
  </si>
  <si>
    <t xml:space="preserve">Iran</t>
  </si>
  <si>
    <t xml:space="preserve">Mexico</t>
  </si>
  <si>
    <t xml:space="preserve">Kuwait</t>
  </si>
  <si>
    <t xml:space="preserve">Saudi Arabia</t>
  </si>
  <si>
    <t xml:space="preserve">Taiwan</t>
  </si>
  <si>
    <t xml:space="preserve">Finland</t>
  </si>
  <si>
    <t xml:space="preserve">Italy</t>
  </si>
  <si>
    <t xml:space="preserve">Colombia</t>
  </si>
  <si>
    <t xml:space="preserve">Ireland</t>
  </si>
  <si>
    <t xml:space="preserve">Norway</t>
  </si>
  <si>
    <t xml:space="preserve">Countries</t>
  </si>
  <si>
    <t xml:space="preserve">Figure 4. Objects of critique by period (% of the studies in each period)</t>
  </si>
  <si>
    <t xml:space="preserve">Counts are inputs; percentages are formulas. Broad dictionaries (Appendix A3).</t>
  </si>
  <si>
    <t xml:space="preserve">Period</t>
  </si>
  <si>
    <t xml:space="preserve">Artificial intelligence n</t>
  </si>
  <si>
    <t xml:space="preserve">Algorithms, data and platforms n</t>
  </si>
  <si>
    <t xml:space="preserve">Social media n</t>
  </si>
  <si>
    <t xml:space="preserve">Disinformation and post-truth n</t>
  </si>
  <si>
    <t xml:space="preserve">Artificial intelligence %</t>
  </si>
  <si>
    <t xml:space="preserve">Algorithms, data and platforms %</t>
  </si>
  <si>
    <t xml:space="preserve">Social media %</t>
  </si>
  <si>
    <t xml:space="preserve">Disinformation and post-truth %</t>
  </si>
  <si>
    <t xml:space="preserve">2016–2019</t>
  </si>
  <si>
    <t xml:space="preserve">2020–2023</t>
  </si>
  <si>
    <t xml:space="preserve">2024–2026</t>
  </si>
  <si>
    <t xml:space="preserve">Figure 5. Theoretical traditions by objects of critique</t>
  </si>
  <si>
    <t xml:space="preserve">Left block: counts (inputs). Right block: share of each tradition (formulas), shaded by a colour scale.</t>
  </si>
  <si>
    <t xml:space="preserve">Tradition</t>
  </si>
  <si>
    <t xml:space="preserve">Artificial intelligence</t>
  </si>
  <si>
    <t xml:space="preserve">Algorithms, data and platforms</t>
  </si>
  <si>
    <t xml:space="preserve">Social media</t>
  </si>
  <si>
    <t xml:space="preserve">Disinformation and post-truth</t>
  </si>
  <si>
    <t xml:space="preserve">Privacy and surveillance</t>
  </si>
  <si>
    <t xml:space="preserve">Hate speech and radicalisation</t>
  </si>
  <si>
    <t xml:space="preserve">Privacy and surveillance %</t>
  </si>
  <si>
    <t xml:space="preserve">Hate speech and radicalisation %</t>
  </si>
  <si>
    <t xml:space="preserve">Critical pedagogy (Freirean)</t>
  </si>
  <si>
    <t xml:space="preserve">Multiliteracies and New Literacy Studies</t>
  </si>
  <si>
    <t xml:space="preserve">Media literacy and educommunication</t>
  </si>
  <si>
    <t xml:space="preserve">Digital citizenship</t>
  </si>
  <si>
    <t xml:space="preserve">Race, gender and decolonial perspectives</t>
  </si>
  <si>
    <t xml:space="preserve">Table 1. Eligibility criteria</t>
  </si>
  <si>
    <t xml:space="preserve">Criterion</t>
  </si>
  <si>
    <t xml:space="preserve">Included</t>
  </si>
  <si>
    <t xml:space="preserve">Excluded</t>
  </si>
  <si>
    <t xml:space="preserve">Concept</t>
  </si>
  <si>
    <t xml:space="preserve">CDL as defined in this review is a central focus of the study</t>
  </si>
  <si>
    <t xml:space="preserve">CDL is mentioned in passing; "critical" means only checking sources or generic critical thinking</t>
  </si>
  <si>
    <t xml:space="preserve">Context</t>
  </si>
  <si>
    <t xml:space="preserve">Formal education: early childhood, primary, secondary, higher education, initial and in-service teacher education</t>
  </si>
  <si>
    <t xml:space="preserve">Families, public libraries, communities or organisations with no link to an educational institution; informal learning</t>
  </si>
  <si>
    <t xml:space="preserve">Peer-reviewed journal articles and reviews</t>
  </si>
  <si>
    <t xml:space="preserve">Book reviews, editorials, conference proceedings</t>
  </si>
  <si>
    <t xml:space="preserve">Period and language</t>
  </si>
  <si>
    <t xml:space="preserve">2016–2026; English or Spanish</t>
  </si>
  <si>
    <t xml:space="preserve">Other periods and languages</t>
  </si>
  <si>
    <t xml:space="preserve">Table 2. Agreement between the two screening passes and outcome of adjudication</t>
  </si>
  <si>
    <t xml:space="preserve">Pass 2: include</t>
  </si>
  <si>
    <t xml:space="preserve">Pass 2: exclude</t>
  </si>
  <si>
    <t xml:space="preserve">Pass 1: include</t>
  </si>
  <si>
    <t xml:space="preserve">Pass 1: exclude</t>
  </si>
  <si>
    <t xml:space="preserve">Observed agreement</t>
  </si>
  <si>
    <t xml:space="preserve">Outcome</t>
  </si>
  <si>
    <t xml:space="preserve">Final decision</t>
  </si>
  <si>
    <t xml:space="preserve">Both passes include</t>
  </si>
  <si>
    <t xml:space="preserve">Both passes exclude</t>
  </si>
  <si>
    <t xml:space="preserve">Disagreement; title names CDL</t>
  </si>
  <si>
    <t xml:space="preserve">Disagreement; title refers to a digital technology and at least two of K, A, P</t>
  </si>
  <si>
    <t xml:space="preserve">Disagreement; insufficient evidence</t>
  </si>
  <si>
    <t xml:space="preserve">Disagreement; excluded in pass 1 for context or document type</t>
  </si>
  <si>
    <t xml:space="preserve">Table 3. Educational level, design and language by period</t>
  </si>
  <si>
    <t xml:space="preserve">Trend: Cochran–Armitage test computed in analisis.py (typed values in blue).</t>
  </si>
  <si>
    <t xml:space="preserve">Category</t>
  </si>
  <si>
    <t xml:space="preserve">2016–2019 n</t>
  </si>
  <si>
    <t xml:space="preserve">%</t>
  </si>
  <si>
    <t xml:space="preserve">2020–2023 n</t>
  </si>
  <si>
    <t xml:space="preserve">2024–2026 n</t>
  </si>
  <si>
    <t xml:space="preserve">Total n</t>
  </si>
  <si>
    <t xml:space="preserve">Trend z</t>
  </si>
  <si>
    <t xml:space="preserve">p</t>
  </si>
  <si>
    <t xml:space="preserve">Studies in period (n)</t>
  </si>
  <si>
    <t xml:space="preserve">Educational level</t>
  </si>
  <si>
    <t xml:space="preserve">Early childhood and primary</t>
  </si>
  <si>
    <t xml:space="preserve">Secondary</t>
  </si>
  <si>
    <t xml:space="preserve">Higher education</t>
  </si>
  <si>
    <t xml:space="preserve">Teacher education</t>
  </si>
  <si>
    <t xml:space="preserve">Design</t>
  </si>
  <si>
    <t xml:space="preserve">Qualitative</t>
  </si>
  <si>
    <t xml:space="preserve">Quantitative</t>
  </si>
  <si>
    <t xml:space="preserve">Conceptual or theoretical</t>
  </si>
  <si>
    <t xml:space="preserve">Intervention or designed teaching</t>
  </si>
  <si>
    <t xml:space="preserve">Literature review</t>
  </si>
  <si>
    <t xml:space="preserve">Language</t>
  </si>
  <si>
    <t xml:space="preserve">Codes are not mutually exclusive. No level code: 30 studies; no design code: 34.</t>
  </si>
  <si>
    <t xml:space="preserve">Table 4. Theoretical traditions by period</t>
  </si>
  <si>
    <t xml:space="preserve">Trend: Cochran–Armitage test (typed values in blue).</t>
  </si>
  <si>
    <t xml:space="preserve">Table 5. Robustness of the main trends to the coding dictionary</t>
  </si>
  <si>
    <t xml:space="preserve">Strict dictionaries keep only the least ambiguous terms (Appendix A3). Trend: Cochran–Armitage test.</t>
  </si>
  <si>
    <t xml:space="preserve">Dictionary</t>
  </si>
  <si>
    <t xml:space="preserve">Broad</t>
  </si>
  <si>
    <t xml:space="preserve">Strict</t>
  </si>
  <si>
    <t xml:space="preserve">Table 6. Pedagogical practices described in the corpus (illustrative)</t>
  </si>
  <si>
    <t xml:space="preserve">Practice</t>
  </si>
  <si>
    <t xml:space="preserve">What learners do</t>
  </si>
  <si>
    <t xml:space="preserve">Examples</t>
  </si>
  <si>
    <t xml:space="preserve">Critical analysis of digital texts</t>
  </si>
  <si>
    <t xml:space="preserve">Read memes, videos, teaching materials or AI outputs for representation, bias and ideology</t>
  </si>
  <si>
    <t xml:space="preserve">Political memes in middle school (Elmore &amp; Coleman, 2019); diversity in airline safety videos (Ho &amp; Hafner, 2025); ideological bias in chatbot answers (Van Poucke, 2024); visual bias in AI images (Weninger &amp; Xu, 2026)</t>
  </si>
  <si>
    <t xml:space="preserve">Media production and multimodal composing</t>
  </si>
  <si>
    <t xml:space="preserve">Produce video, stories, posters or multimodal texts that answer dominant narratives</t>
  </si>
  <si>
    <t xml:space="preserve">Video production in elementary teacher education (Watt, 2019); digital storytelling on District Six (Noble &amp; Gachago, 2022); bilingual Vine making (de los Ríos, 2018); translating a poster campaign on cyberbullying (Damaskinidis et al., 2026)</t>
  </si>
  <si>
    <t xml:space="preserve">Virtual exchange</t>
  </si>
  <si>
    <t xml:space="preserve">Work with peers in other countries and examine how platforms shape the exchange</t>
  </si>
  <si>
    <t xml:space="preserve">Hauck (2019); ELT teacher education (Bilki et al., 2023); multimodal representation (Satar et al., 2023); a COIL project with pre-service teachers (Ketzer-Nöltge &amp; Markovic, 2022)</t>
  </si>
  <si>
    <t xml:space="preserve">Designed modules and inquiry</t>
  </si>
  <si>
    <t xml:space="preserve">Follow a sequence built around a game, a controversy or a writing task</t>
  </si>
  <si>
    <t xml:space="preserve">Co-designing a module with indie video games (Jiménez Torras et al., 2026); conspiracy theories in English classes (Gerlach et al., 2025); reflection notebooks on misinformation (Spracklin &amp; Espina, 2025); rating classroom tools for privacy with future primary teachers (Castañeda &amp; Villar-Onrubia, 2023)</t>
  </si>
  <si>
    <t xml:space="preserve">Civic action</t>
  </si>
  <si>
    <t xml:space="preserve">Use digital tools to investigate and act on local or political issues</t>
  </si>
  <si>
    <t xml:space="preserve">Civic interrogation in a ninth-grade ethnic studies course (Kwon &amp; de los Ríos, 2019); student activism after the Parkland shooting (Abowitz &amp; Mamlok, 2020); university digital activism in Peru (Fernández, 2026); Black students resisting AI-mediated racism (Tanksley, 2024)</t>
  </si>
  <si>
    <t xml:space="preserve">Table 7. The ten most cited studies</t>
  </si>
  <si>
    <t xml:space="preserve">Scopus citations on 27 October 2026. Per year: citations / (2026 − year + 1).</t>
  </si>
  <si>
    <t xml:space="preserve">Journal</t>
  </si>
  <si>
    <t xml:space="preserve">Title</t>
  </si>
  <si>
    <t xml:space="preserve">Citations</t>
  </si>
  <si>
    <t xml:space="preserve">Per year</t>
  </si>
  <si>
    <t xml:space="preserve">DOI</t>
  </si>
  <si>
    <t xml:space="preserve">Darvin</t>
  </si>
  <si>
    <t xml:space="preserve">Journal of Second Language Writing</t>
  </si>
  <si>
    <t xml:space="preserve">The need for critical digital literacies in generative AI-mediated L2 writing</t>
  </si>
  <si>
    <t xml:space="preserve">10.1016/j.jslw.2025.101186</t>
  </si>
  <si>
    <t xml:space="preserve">Ilomäki et al.</t>
  </si>
  <si>
    <t xml:space="preserve">Review of Education</t>
  </si>
  <si>
    <t xml:space="preserve">Critical digital literacies at school level: A systematic review</t>
  </si>
  <si>
    <t xml:space="preserve">10.1002/rev3.3425</t>
  </si>
  <si>
    <t xml:space="preserve">Pötzsch</t>
  </si>
  <si>
    <t xml:space="preserve">Triplec</t>
  </si>
  <si>
    <t xml:space="preserve">Critical digital literacy: Technology in education beyond issues of user competence and labour-market qualifications</t>
  </si>
  <si>
    <t xml:space="preserve">10.31269/triplec.v17i2.1093</t>
  </si>
  <si>
    <t xml:space="preserve">Hauck</t>
  </si>
  <si>
    <t xml:space="preserve">European Journal of Language Policy</t>
  </si>
  <si>
    <t xml:space="preserve">Virtual exchange for (critical) digital literacy skills development</t>
  </si>
  <si>
    <t xml:space="preserve">10.3828/ejlp.2019.12</t>
  </si>
  <si>
    <t xml:space="preserve">Moorhouse et al.</t>
  </si>
  <si>
    <t xml:space="preserve">System</t>
  </si>
  <si>
    <t xml:space="preserve">Generative AI tools and empowerment in L2 academic writing</t>
  </si>
  <si>
    <t xml:space="preserve">10.1016/j.system.2025.103779</t>
  </si>
  <si>
    <t xml:space="preserve">Castellví et al.</t>
  </si>
  <si>
    <t xml:space="preserve">Social Sciences</t>
  </si>
  <si>
    <t xml:space="preserve">Pre-service teachers' critical digital literacy skills and attitudes to address social problems</t>
  </si>
  <si>
    <t xml:space="preserve">10.3390/SOCSCI9080134</t>
  </si>
  <si>
    <t xml:space="preserve">Talib</t>
  </si>
  <si>
    <t xml:space="preserve">E Learning and Digital Media</t>
  </si>
  <si>
    <t xml:space="preserve">Social media pedagogy: Applying an interdisciplinary approach to teach multimodal critical digital literacy</t>
  </si>
  <si>
    <t xml:space="preserve">10.1177/2042753018756904</t>
  </si>
  <si>
    <t xml:space="preserve">Mesquita-Romero et al.</t>
  </si>
  <si>
    <t xml:space="preserve">Comunicar</t>
  </si>
  <si>
    <t xml:space="preserve">Critical media literacy to improve students' competencies</t>
  </si>
  <si>
    <t xml:space="preserve">10.3916/C70-2022-04</t>
  </si>
  <si>
    <t xml:space="preserve">Gouseti et al.</t>
  </si>
  <si>
    <t xml:space="preserve">Educational Review</t>
  </si>
  <si>
    <t xml:space="preserve">Exploring teachers’ perceptions of critical digital literacies and how these are manifested in their teaching practices</t>
  </si>
  <si>
    <t xml:space="preserve">10.1080/00131911.2022.2159933</t>
  </si>
  <si>
    <t xml:space="preserve">Tagg &amp; Seargeant</t>
  </si>
  <si>
    <t xml:space="preserve">Linguistics and Education</t>
  </si>
  <si>
    <t xml:space="preserve">Context design and critical language/media awareness: Implications for a social digital literacies education</t>
  </si>
  <si>
    <t xml:space="preserve">10.1016/j.linged.2019.100776</t>
  </si>
  <si>
    <t xml:space="preserve">Total, ten most cited</t>
  </si>
  <si>
    <t xml:space="preserve">All 135 studies</t>
  </si>
  <si>
    <t xml:space="preserve">Share of the ten most cited</t>
  </si>
  <si>
    <t xml:space="preserve">Table 8. Dictionary codes compared with full-text codes in the eligible studies of the validation sample</t>
  </si>
  <si>
    <t xml:space="preserve">n = 25 eligible of 38 read. Precision = both / dictionary; sensitivity = both / full text (formulas). Kappa typed in blue (validacion.py).</t>
  </si>
  <si>
    <t xml:space="preserve">Full text (n)</t>
  </si>
  <si>
    <t xml:space="preserve">Dictionary (n)</t>
  </si>
  <si>
    <t xml:space="preserve">Both (n)</t>
  </si>
  <si>
    <t xml:space="preserve">Precision</t>
  </si>
  <si>
    <t xml:space="preserve">Sensitivity</t>
  </si>
  <si>
    <t xml:space="preserve">Theoretical tradition</t>
  </si>
  <si>
    <t xml:space="preserve">Object of critique, context or practice</t>
  </si>
  <si>
    <t xml:space="preserve">Second or foreign language education</t>
  </si>
  <si>
    <t xml:space="preserve">Student media production</t>
  </si>
  <si>
    <t xml:space="preserve">Supplementary file S1. The 135 included studies</t>
  </si>
  <si>
    <t xml:space="preserve">Codes: 1 = present in title, abstract or keywords (Appendix A3).</t>
  </si>
  <si>
    <t xml:space="preserve">EID</t>
  </si>
  <si>
    <t xml:space="preserve">Authors (n)</t>
  </si>
  <si>
    <t xml:space="preserve">Volume</t>
  </si>
  <si>
    <t xml:space="preserve">Issue</t>
  </si>
  <si>
    <t xml:space="preserve">Pages / article</t>
  </si>
  <si>
    <t xml:space="preserve">Open access</t>
  </si>
  <si>
    <t xml:space="preserve">2-s2.0-105044321460</t>
  </si>
  <si>
    <t xml:space="preserve">10.1080/14681366.2026.2691544</t>
  </si>
  <si>
    <t xml:space="preserve">Ab Kadir, M. A.</t>
  </si>
  <si>
    <t xml:space="preserve">Towards a framework for teaching multiliteracies in the age of generative AI</t>
  </si>
  <si>
    <t xml:space="preserve">Pedagogy Culture and Society</t>
  </si>
  <si>
    <t xml:space="preserve">34</t>
  </si>
  <si>
    <t xml:space="preserve">5</t>
  </si>
  <si>
    <t xml:space="preserve">1235-1257</t>
  </si>
  <si>
    <t xml:space="preserve">Yes</t>
  </si>
  <si>
    <t xml:space="preserve">2-s2.0-85108218568</t>
  </si>
  <si>
    <t xml:space="preserve">10.1111/edth.12451</t>
  </si>
  <si>
    <t xml:space="preserve">Abowitz, K. K., &amp; Mamlok, D.</t>
  </si>
  <si>
    <t xml:space="preserve">#NeverAgainMSD Student Activism: Lessons for Agonist Political Education in an Age of Democratic Crisis</t>
  </si>
  <si>
    <t xml:space="preserve">Educational Theory</t>
  </si>
  <si>
    <t xml:space="preserve">70</t>
  </si>
  <si>
    <t xml:space="preserve">6</t>
  </si>
  <si>
    <t xml:space="preserve">731-748</t>
  </si>
  <si>
    <t xml:space="preserve">No</t>
  </si>
  <si>
    <t xml:space="preserve">2-s2.0-85107142067</t>
  </si>
  <si>
    <t xml:space="preserve">10.1080/1554480X.2021.1914059</t>
  </si>
  <si>
    <t xml:space="preserve">Aguilera, E., &amp; Pandya, J. Z.</t>
  </si>
  <si>
    <t xml:space="preserve">Critical literacies in a digital age: current and future issues</t>
  </si>
  <si>
    <t xml:space="preserve">Pedagogies</t>
  </si>
  <si>
    <t xml:space="preserve">16</t>
  </si>
  <si>
    <t xml:space="preserve">2</t>
  </si>
  <si>
    <t xml:space="preserve">103-110</t>
  </si>
  <si>
    <t xml:space="preserve">2-s2.0-105029730874</t>
  </si>
  <si>
    <t xml:space="preserve">10.17576/jkukm-2026-38(1)-01</t>
  </si>
  <si>
    <t xml:space="preserve">Ahmed Rind, I., Bhatti, J., &amp; Chellappan, K.</t>
  </si>
  <si>
    <t xml:space="preserve">From Blind Trust to Critical Inquiry: Epistemic Beliefs and Student Engagement with ChatGPT in Higher Education</t>
  </si>
  <si>
    <t xml:space="preserve">Jurnal Kejuruteraan</t>
  </si>
  <si>
    <t xml:space="preserve">38</t>
  </si>
  <si>
    <t xml:space="preserve">1</t>
  </si>
  <si>
    <t xml:space="preserve">1-14</t>
  </si>
  <si>
    <t xml:space="preserve">Oman; Pakistan</t>
  </si>
  <si>
    <t xml:space="preserve">2-s2.0-85185907678</t>
  </si>
  <si>
    <t xml:space="preserve">10.60149/STSL9113</t>
  </si>
  <si>
    <t xml:space="preserve">Alexandropoulos, G.</t>
  </si>
  <si>
    <t xml:space="preserve">Teaching the political speech at secondary level schools. Towards critical and digital literacy</t>
  </si>
  <si>
    <t xml:space="preserve">Centre for Applied Linguistics Research Journal</t>
  </si>
  <si>
    <t xml:space="preserve">14</t>
  </si>
  <si>
    <t xml:space="preserve">2-s2.0-105023538186</t>
  </si>
  <si>
    <t xml:space="preserve">10.1080/13614576.2025.2588758</t>
  </si>
  <si>
    <t xml:space="preserve">AlGhannama, B., Alsaber, A., Alkandari, A., &amp; Anbar, A.</t>
  </si>
  <si>
    <t xml:space="preserve">Psychometric Evaluation of the Comprehensive Digital Literacy Scale (CDLS): A Measurement of Critical Digital Literacy and Basic Operational Digital Skills</t>
  </si>
  <si>
    <t xml:space="preserve">New Review of Information Networking</t>
  </si>
  <si>
    <t xml:space="preserve">30</t>
  </si>
  <si>
    <t xml:space="preserve">353-382</t>
  </si>
  <si>
    <t xml:space="preserve">2-s2.0-105040530988</t>
  </si>
  <si>
    <t xml:space="preserve">10.30935/cedtech/18477</t>
  </si>
  <si>
    <t xml:space="preserve">Alhabbash, M., Al Mohammedi, N., Omar, H., &amp; Alothali, S.</t>
  </si>
  <si>
    <t xml:space="preserve">Writing back with AI: A phenomenological study of language decolonization among Arab bilingual learners</t>
  </si>
  <si>
    <t xml:space="preserve">Contemporary Educational Technology</t>
  </si>
  <si>
    <t xml:space="preserve">18</t>
  </si>
  <si>
    <t xml:space="preserve">ep651</t>
  </si>
  <si>
    <t xml:space="preserve">2-s2.0-105053451797</t>
  </si>
  <si>
    <t xml:space="preserve">10.17811/rifie.23745</t>
  </si>
  <si>
    <t xml:space="preserve">Andreu-Mediero, B., Castellví Mata, J., &amp; Díez-Bedmar, M. d. C.</t>
  </si>
  <si>
    <t xml:space="preserve">The Didactics of Social Sciences Facing Hegemonic Discourses: An Analysis in Primary Education Using the DigCompEdu Framework</t>
  </si>
  <si>
    <t xml:space="preserve">Aula Abierta</t>
  </si>
  <si>
    <t xml:space="preserve">55</t>
  </si>
  <si>
    <t xml:space="preserve">3</t>
  </si>
  <si>
    <t xml:space="preserve">303-316</t>
  </si>
  <si>
    <t xml:space="preserve">2-s2.0-105038382264</t>
  </si>
  <si>
    <t xml:space="preserve">10.55593/EJ.29116INT3</t>
  </si>
  <si>
    <t xml:space="preserve">Apridayani, A., &amp; Sompuwet, W.</t>
  </si>
  <si>
    <t xml:space="preserve">Social Media as a Digital Language Learning Ecosystem: An Interpretive Study of Thai Teenagers’ English Development</t>
  </si>
  <si>
    <t xml:space="preserve">Tesl Ej</t>
  </si>
  <si>
    <t xml:space="preserve">29</t>
  </si>
  <si>
    <t xml:space="preserve">4</t>
  </si>
  <si>
    <t xml:space="preserve">1-21</t>
  </si>
  <si>
    <t xml:space="preserve">2-s2.0-85176211357</t>
  </si>
  <si>
    <t xml:space="preserve">10.21556/edutec.2023.85.2851</t>
  </si>
  <si>
    <t xml:space="preserve">Atenas, J., Havemann, L., Rodés, V., &amp; Podetti, M.</t>
  </si>
  <si>
    <t xml:space="preserve">Critical data literacy in praxis: An open education approach for academic development</t>
  </si>
  <si>
    <t xml:space="preserve">Edutec</t>
  </si>
  <si>
    <t xml:space="preserve">84</t>
  </si>
  <si>
    <t xml:space="preserve">49-67</t>
  </si>
  <si>
    <t xml:space="preserve">2-s2.0-85136798154</t>
  </si>
  <si>
    <t xml:space="preserve">10.1007/s44020-022-00019-x</t>
  </si>
  <si>
    <t xml:space="preserve">Bacalja, A., Beavis, C., &amp; O’Brien, A.</t>
  </si>
  <si>
    <t xml:space="preserve">Shifting landscapes of digital literacy</t>
  </si>
  <si>
    <t xml:space="preserve">Australian Journal of Language and Literacy</t>
  </si>
  <si>
    <t xml:space="preserve">45</t>
  </si>
  <si>
    <t xml:space="preserve">253-263</t>
  </si>
  <si>
    <t xml:space="preserve">2-s2.0-85082852929</t>
  </si>
  <si>
    <t xml:space="preserve">10.1080/17425964.2020.1739639</t>
  </si>
  <si>
    <t xml:space="preserve">Baroud, J., &amp; Dharamshi, P.</t>
  </si>
  <si>
    <t xml:space="preserve">A Collaborative Self Study of Critical Digital Pedagogies in Teacher Education</t>
  </si>
  <si>
    <t xml:space="preserve">Studying Teacher Education</t>
  </si>
  <si>
    <t xml:space="preserve">164-182</t>
  </si>
  <si>
    <t xml:space="preserve">2-s2.0-85111540072</t>
  </si>
  <si>
    <t xml:space="preserve">10.1016/j.compcom.2021.102654</t>
  </si>
  <si>
    <t xml:space="preserve">Beck, E., Goin, M. E., Ho, A., Parks, A., &amp; Rowe, S.</t>
  </si>
  <si>
    <t xml:space="preserve">Critical digital literacy as method for teaching tactics of response to online surveillance and privacy erosion</t>
  </si>
  <si>
    <t xml:space="preserve">Computers and Composition</t>
  </si>
  <si>
    <t xml:space="preserve">61</t>
  </si>
  <si>
    <t xml:space="preserve">102654</t>
  </si>
  <si>
    <t xml:space="preserve">2-s2.0-105042424034</t>
  </si>
  <si>
    <t xml:space="preserve">Bilenko, T., [+4 co-authors]</t>
  </si>
  <si>
    <t xml:space="preserve">Integrating Digital Citizenship into Language Education: Enhancing Critical Digital Literacy in an Intercultural Context</t>
  </si>
  <si>
    <t xml:space="preserve">International Journal of Special Education</t>
  </si>
  <si>
    <t xml:space="preserve">41</t>
  </si>
  <si>
    <t xml:space="preserve">7S</t>
  </si>
  <si>
    <t xml:space="preserve">831-845</t>
  </si>
  <si>
    <t xml:space="preserve">2-s2.0-85144350861</t>
  </si>
  <si>
    <t xml:space="preserve">10.1017/S095834402200009X</t>
  </si>
  <si>
    <t xml:space="preserve">Bilki, Z., Satar, M., &amp; Sak, M.</t>
  </si>
  <si>
    <t xml:space="preserve">Critical digital literacy in virtual exchange for ELT teacher education: An interpretivist methodology</t>
  </si>
  <si>
    <t xml:space="preserve">Recall</t>
  </si>
  <si>
    <t xml:space="preserve">35</t>
  </si>
  <si>
    <t xml:space="preserve">58-73</t>
  </si>
  <si>
    <t xml:space="preserve">2-s2.0-105053382404</t>
  </si>
  <si>
    <t xml:space="preserve">10.55982/openpraxis.18.4.1451</t>
  </si>
  <si>
    <t xml:space="preserve">Bozkurt, A., Ertan, S., &amp; Cömert, Z.</t>
  </si>
  <si>
    <t xml:space="preserve">What Does It Mean to Be AI Literate? Psychometric Validation of the Critical 3wAI Literacy Scale</t>
  </si>
  <si>
    <t xml:space="preserve">Open Praxis</t>
  </si>
  <si>
    <t xml:space="preserve">655-669</t>
  </si>
  <si>
    <t xml:space="preserve">2-s2.0-85188308571</t>
  </si>
  <si>
    <t xml:space="preserve">10.1177/13621688241235019</t>
  </si>
  <si>
    <t xml:space="preserve">Brocca, N., Masia, V., &amp; Garassino, D.</t>
  </si>
  <si>
    <t xml:space="preserve">Empowering critical digital literacy in EFL: Teachers’ evaluation of didactic materials involving the recognition of presupposed information</t>
  </si>
  <si>
    <t xml:space="preserve">Language Teaching Research</t>
  </si>
  <si>
    <t xml:space="preserve">7</t>
  </si>
  <si>
    <t xml:space="preserve">3835-3859</t>
  </si>
  <si>
    <t xml:space="preserve">2-s2.0-105011296978</t>
  </si>
  <si>
    <t xml:space="preserve">10.28945/5519</t>
  </si>
  <si>
    <t xml:space="preserve">Brown, J., &amp; Luo, T.</t>
  </si>
  <si>
    <t xml:space="preserve">BRIDGING THE DIVIDE: MARGINALIZED PRE-SERVICE TEACHERS’ TECHNOLOGY OWNERSHIP AND SKILL ACQUISITION</t>
  </si>
  <si>
    <t xml:space="preserve">Journal of Information Technology Education Research</t>
  </si>
  <si>
    <t xml:space="preserve">24</t>
  </si>
  <si>
    <t xml:space="preserve">1-20</t>
  </si>
  <si>
    <t xml:space="preserve">2-s2.0-105036167610</t>
  </si>
  <si>
    <t xml:space="preserve">10.1016/j.compcom.2026.103005</t>
  </si>
  <si>
    <t xml:space="preserve">Buck, A. M.</t>
  </si>
  <si>
    <t xml:space="preserve">Beyond paying attention: Praxis for critical digital literacy</t>
  </si>
  <si>
    <t xml:space="preserve">80</t>
  </si>
  <si>
    <t xml:space="preserve">103005</t>
  </si>
  <si>
    <t xml:space="preserve">2-s2.0-105016480393</t>
  </si>
  <si>
    <t xml:space="preserve">10.1016/j.ijintrel.2025.102298</t>
  </si>
  <si>
    <t xml:space="preserve">Cai, S., &amp; Lai, C.</t>
  </si>
  <si>
    <t xml:space="preserve">Exploring social media practices and cross-cultural adaptation of mobile students in multilingual and multicultural higher education</t>
  </si>
  <si>
    <t xml:space="preserve">International Journal of Intercultural Relations</t>
  </si>
  <si>
    <t xml:space="preserve">109</t>
  </si>
  <si>
    <t xml:space="preserve">102298</t>
  </si>
  <si>
    <t xml:space="preserve">2-s2.0-105019658839</t>
  </si>
  <si>
    <t xml:space="preserve">10.21556/edutec.2025.93.4049</t>
  </si>
  <si>
    <t xml:space="preserve">Cajavilca, K., Cerrillo, R., &amp; Perez-Hernandez, E.</t>
  </si>
  <si>
    <t xml:space="preserve">Critical Digital Literacy as a Driver of Personalized Learning: An Analysis of University Students’ Portfolios</t>
  </si>
  <si>
    <t xml:space="preserve">93</t>
  </si>
  <si>
    <t xml:space="preserve">123-144</t>
  </si>
  <si>
    <t xml:space="preserve">2-s2.0-105022110301</t>
  </si>
  <si>
    <t xml:space="preserve">10.22201/iibi.24488321xe.2025.105.59069</t>
  </si>
  <si>
    <t xml:space="preserve">Casas-Puente, J. G., &amp; Gutiérrez-Leyton, A. E.</t>
  </si>
  <si>
    <t xml:space="preserve">Critical Information Literacy in Latin American Universities: A Situated Perspective</t>
  </si>
  <si>
    <t xml:space="preserve">Investigacion Bibliotecologica</t>
  </si>
  <si>
    <t xml:space="preserve">39</t>
  </si>
  <si>
    <t xml:space="preserve">105</t>
  </si>
  <si>
    <t xml:space="preserve">83-99</t>
  </si>
  <si>
    <t xml:space="preserve">2-s2.0-85146934143</t>
  </si>
  <si>
    <t xml:space="preserve">10.30935/cedtech/12599</t>
  </si>
  <si>
    <t xml:space="preserve">Castañeda, L., &amp; Villar-Onrubia, D.</t>
  </si>
  <si>
    <t xml:space="preserve">Beyond functionality: Building critical digital teaching competence among future primary education teachers</t>
  </si>
  <si>
    <t xml:space="preserve">15</t>
  </si>
  <si>
    <t xml:space="preserve">ep397</t>
  </si>
  <si>
    <t xml:space="preserve">2-s2.0-85112660754</t>
  </si>
  <si>
    <t xml:space="preserve">10.5565/REV/JTL3.905</t>
  </si>
  <si>
    <t xml:space="preserve">Castellví Mata, J., Tosar Bacarizo, B., &amp; Santisteban Fernández, A.</t>
  </si>
  <si>
    <t xml:space="preserve">Young people confronting the challenge of reading and interpreting a digital world</t>
  </si>
  <si>
    <t xml:space="preserve">Bellaterra Journal of Teaching and Learning Language and Literature</t>
  </si>
  <si>
    <t xml:space="preserve">e905</t>
  </si>
  <si>
    <t xml:space="preserve">2-s2.0-85089543383</t>
  </si>
  <si>
    <t xml:space="preserve">Castellví, J., Díez-Bedmar, M.-C., &amp; Santisteban, A.</t>
  </si>
  <si>
    <t xml:space="preserve">9</t>
  </si>
  <si>
    <t xml:space="preserve">8</t>
  </si>
  <si>
    <t xml:space="preserve">134</t>
  </si>
  <si>
    <t xml:space="preserve">2-s2.0-105023469317</t>
  </si>
  <si>
    <t xml:space="preserve">10.1080/14681366.2025.2593611</t>
  </si>
  <si>
    <t xml:space="preserve">Costa, C., &amp; Oliver, M.</t>
  </si>
  <si>
    <t xml:space="preserve">Young people and digital literacy learning: co-producing critical citizenship practices</t>
  </si>
  <si>
    <t xml:space="preserve">913-932</t>
  </si>
  <si>
    <t xml:space="preserve">2-s2.0-105017042164</t>
  </si>
  <si>
    <t xml:space="preserve">10.1007/s44020-025-00086-w</t>
  </si>
  <si>
    <t xml:space="preserve">Creely, E., Parr, G., Richardson, H., Carabott, K., McLeod, A., &amp; Scull, J.</t>
  </si>
  <si>
    <t xml:space="preserve">Critical literacies in upper primary in Australia (2014–2024): a thematic literature review</t>
  </si>
  <si>
    <t xml:space="preserve">49</t>
  </si>
  <si>
    <t xml:space="preserve">1-18</t>
  </si>
  <si>
    <t xml:space="preserve">2-s2.0-105053728805</t>
  </si>
  <si>
    <t xml:space="preserve">10.37693/pjos.2026.12.29327</t>
  </si>
  <si>
    <t xml:space="preserve">Damaskinidis, G., Pliogou, V., &amp; Tromara, S.</t>
  </si>
  <si>
    <t xml:space="preserve">Intersemiotic translation as a pedagogy for cyberbullying awareness: The One Shot is Enough poster campaign</t>
  </si>
  <si>
    <t xml:space="preserve">Public Journal of Semiotics</t>
  </si>
  <si>
    <t xml:space="preserve">12</t>
  </si>
  <si>
    <t xml:space="preserve">38-62</t>
  </si>
  <si>
    <t xml:space="preserve">2-s2.0-85216943290</t>
  </si>
  <si>
    <t xml:space="preserve">Darvin, R.</t>
  </si>
  <si>
    <t xml:space="preserve">67</t>
  </si>
  <si>
    <t xml:space="preserve">101186</t>
  </si>
  <si>
    <t xml:space="preserve">2-s2.0-105046344766</t>
  </si>
  <si>
    <t xml:space="preserve">10.30827/portalin.vi46.36822</t>
  </si>
  <si>
    <t xml:space="preserve">De Amo Sánchez-Fortún, J. M., Baldrich Rodríguez, K., Domínguez-Oller, J. C., &amp; Pérez-García, C.</t>
  </si>
  <si>
    <t xml:space="preserve">Generative artificial intelligence as a semiotic mediator in the learning of Spanish as an additional language in Secondary Education</t>
  </si>
  <si>
    <t xml:space="preserve">Porta Linguarum</t>
  </si>
  <si>
    <t xml:space="preserve">2026-June</t>
  </si>
  <si>
    <t xml:space="preserve">46</t>
  </si>
  <si>
    <t xml:space="preserve">169-186</t>
  </si>
  <si>
    <t xml:space="preserve">2-s2.0-105013961866</t>
  </si>
  <si>
    <t xml:space="preserve">10.1016/j.system.2025.103808</t>
  </si>
  <si>
    <t xml:space="preserve">de Groot, F. O.</t>
  </si>
  <si>
    <t xml:space="preserve">Sticky voices: Affect and critical digital literacies in multimodal academic feedback</t>
  </si>
  <si>
    <t xml:space="preserve">103808</t>
  </si>
  <si>
    <t xml:space="preserve">2-s2.0-85050349976</t>
  </si>
  <si>
    <t xml:space="preserve">10.1080/17439884.2018.1498350</t>
  </si>
  <si>
    <t xml:space="preserve">de los Ríos, C. V.</t>
  </si>
  <si>
    <t xml:space="preserve">Bilingual Vine making: problematizing oppressive discourses in a secondary Chicanx/Latinx studies course</t>
  </si>
  <si>
    <t xml:space="preserve">Learning Media and Technology</t>
  </si>
  <si>
    <t xml:space="preserve">43</t>
  </si>
  <si>
    <t xml:space="preserve">359-373</t>
  </si>
  <si>
    <t xml:space="preserve">2-s2.0-105039037939</t>
  </si>
  <si>
    <t xml:space="preserve">10.12795/revistafuentes.2026.28997</t>
  </si>
  <si>
    <t xml:space="preserve">Durán-Rodríguez, N., &amp; Fernández-Sánchez, M. R.</t>
  </si>
  <si>
    <t xml:space="preserve">Media Education and Gender Perspective: Approaches, limitations, and challenges from a Systematic Literature Review</t>
  </si>
  <si>
    <t xml:space="preserve">Revista Fuentes</t>
  </si>
  <si>
    <t xml:space="preserve">28</t>
  </si>
  <si>
    <t xml:space="preserve">103-118</t>
  </si>
  <si>
    <t xml:space="preserve">2-s2.0-105049614973</t>
  </si>
  <si>
    <t xml:space="preserve">10.55766/sjss284991</t>
  </si>
  <si>
    <t xml:space="preserve">Dwipayana, I. K. A., Sutama, I. M., Rasna, I. W., &amp; Artika, I. W.</t>
  </si>
  <si>
    <t xml:space="preserve">AI-Assisted Multimodal Discourse Analysis Learning Model to Enhance Critical Literacy Skills</t>
  </si>
  <si>
    <t xml:space="preserve">Suranaree Journal of Social Science</t>
  </si>
  <si>
    <t xml:space="preserve">20</t>
  </si>
  <si>
    <t xml:space="preserve">e284991</t>
  </si>
  <si>
    <t xml:space="preserve">2-s2.0-85127263245</t>
  </si>
  <si>
    <t xml:space="preserve">10.1002/tesq.3139</t>
  </si>
  <si>
    <t xml:space="preserve">Ehret, C., &amp; Becerra Posada, T.</t>
  </si>
  <si>
    <t xml:space="preserve">Considering Affective Geographies in Critical Digital Literacy Pedagogies: How Colombian, English Language Teachers Mitigated “Feeling at a Distance” During Remote Instruction</t>
  </si>
  <si>
    <t xml:space="preserve">Tesol Quarterly</t>
  </si>
  <si>
    <t xml:space="preserve">56</t>
  </si>
  <si>
    <t xml:space="preserve">1041-1051</t>
  </si>
  <si>
    <t xml:space="preserve">2-s2.0-85060871765</t>
  </si>
  <si>
    <t xml:space="preserve">10.1002/jaal.948</t>
  </si>
  <si>
    <t xml:space="preserve">Elmore, P. G., &amp; Coleman, J. M.</t>
  </si>
  <si>
    <t xml:space="preserve">Middle School Students’ Analysis of Political Memes to Support Critical Media Literacy</t>
  </si>
  <si>
    <t xml:space="preserve">Journal of Adolescent and Adult Literacy</t>
  </si>
  <si>
    <t xml:space="preserve">63</t>
  </si>
  <si>
    <t xml:space="preserve">29-40</t>
  </si>
  <si>
    <t xml:space="preserve">2-s2.0-85191972621</t>
  </si>
  <si>
    <t xml:space="preserve">10.5209/rced.85615</t>
  </si>
  <si>
    <t xml:space="preserve">Escribano-Muñoz, C., Gil-Fernández, R., &amp; Calderón-Garrido, D.</t>
  </si>
  <si>
    <t xml:space="preserve">Confluences between critical thinking and social media in the educational world. Mapping experiences and detecting challenges</t>
  </si>
  <si>
    <t xml:space="preserve">Revista Complutense De Educacion</t>
  </si>
  <si>
    <t xml:space="preserve">363-379</t>
  </si>
  <si>
    <t xml:space="preserve">2-s2.0-105044792238</t>
  </si>
  <si>
    <t xml:space="preserve">10.17811/rifie.22346</t>
  </si>
  <si>
    <t xml:space="preserve">Esteve-Mon, F. M., Marín Juarros, V. I., Tur Ferrer, G., Orellana Hernández, M. L., Villagrá Sobrino, S., &amp; Aguilar Camaño, D.</t>
  </si>
  <si>
    <t xml:space="preserve">Critical digital competence, open education and agency for learning: a web analysis of the Spanish university context</t>
  </si>
  <si>
    <t xml:space="preserve">187-198</t>
  </si>
  <si>
    <t xml:space="preserve">2-s2.0-105046330154</t>
  </si>
  <si>
    <t xml:space="preserve">10.1177/00336882261468465</t>
  </si>
  <si>
    <t xml:space="preserve">Fang, F.</t>
  </si>
  <si>
    <t xml:space="preserve">Forging Global Englishes pragmatic competence in the era of artificial intelligence</t>
  </si>
  <si>
    <t xml:space="preserve">Relc Journal</t>
  </si>
  <si>
    <t xml:space="preserve">2-s2.0-85120877758</t>
  </si>
  <si>
    <t xml:space="preserve">10.1080/00131857.2021.2010541</t>
  </si>
  <si>
    <t xml:space="preserve">Farag, A., Greeley, L., &amp; Swindell, A.</t>
  </si>
  <si>
    <t xml:space="preserve">Freire 2.0: Pedagogy of the digitally oppressed</t>
  </si>
  <si>
    <t xml:space="preserve">Educational Philosophy and Theory</t>
  </si>
  <si>
    <t xml:space="preserve">54</t>
  </si>
  <si>
    <t xml:space="preserve">13</t>
  </si>
  <si>
    <t xml:space="preserve">2214-2227</t>
  </si>
  <si>
    <t xml:space="preserve">2-s2.0-105041054523</t>
  </si>
  <si>
    <t xml:space="preserve">10.1016/j.tate.2026.105687</t>
  </si>
  <si>
    <t xml:space="preserve">Farrelly, D., Scheiber, L., &amp; Maulbeck, J.</t>
  </si>
  <si>
    <t xml:space="preserve">Exploring critical digital literacies in community college teacher education</t>
  </si>
  <si>
    <t xml:space="preserve">Teaching and Teacher Education</t>
  </si>
  <si>
    <t xml:space="preserve">181</t>
  </si>
  <si>
    <t xml:space="preserve">105687</t>
  </si>
  <si>
    <t xml:space="preserve">2-s2.0-105048632857</t>
  </si>
  <si>
    <t xml:space="preserve">10.15381/lengsoc.v25i1.32220</t>
  </si>
  <si>
    <t xml:space="preserve">Fernández, L. E.</t>
  </si>
  <si>
    <t xml:space="preserve">Digital activism and critical literacy: University agency for sociolinguistic justice in peru</t>
  </si>
  <si>
    <t xml:space="preserve">Lengua Y Sociedad</t>
  </si>
  <si>
    <t xml:space="preserve">25</t>
  </si>
  <si>
    <t xml:space="preserve">e32220</t>
  </si>
  <si>
    <t xml:space="preserve">2-s2.0-105012842697</t>
  </si>
  <si>
    <t xml:space="preserve">10.1016/j.ijer.2025.102737</t>
  </si>
  <si>
    <t xml:space="preserve">Ferreira, J., &amp; Kendrick, M.</t>
  </si>
  <si>
    <t xml:space="preserve">“They hear it from me”: Student voices on critically assessing digital multimodal composing</t>
  </si>
  <si>
    <t xml:space="preserve">International Journal of Educational Research</t>
  </si>
  <si>
    <t xml:space="preserve">133</t>
  </si>
  <si>
    <t xml:space="preserve">102737</t>
  </si>
  <si>
    <t xml:space="preserve">2-s2.0-105042386044</t>
  </si>
  <si>
    <t xml:space="preserve">10.5944/ried.47025</t>
  </si>
  <si>
    <t xml:space="preserve">Garcia Castro, R. A., Apaza Romero, M., Mariñas Dill-Erva, R. E., &amp; Zapana Ancota, N. D.</t>
  </si>
  <si>
    <t xml:space="preserve">Functional dependence on artificial intelligence at university level: An interpretation from a cognitive disruption perspective</t>
  </si>
  <si>
    <t xml:space="preserve">Ried Revista Iberoamericana De Educacion A Distancia</t>
  </si>
  <si>
    <t xml:space="preserve">2-s2.0-85107116438</t>
  </si>
  <si>
    <t xml:space="preserve">10.1080/1554480X.2021.1914058</t>
  </si>
  <si>
    <t xml:space="preserve">Garcia, A., &amp; de Roock, R. S.</t>
  </si>
  <si>
    <t xml:space="preserve">Civic dimensions of critical digital literacies: towards an abolitionist lens</t>
  </si>
  <si>
    <t xml:space="preserve">187-201</t>
  </si>
  <si>
    <t xml:space="preserve">2-s2.0-105018095833</t>
  </si>
  <si>
    <t xml:space="preserve">10.1016/j.system.2025.103871</t>
  </si>
  <si>
    <t xml:space="preserve">Gerlach, D., Schildhauer, P., &amp; Weiser-Zurmühlen, K.</t>
  </si>
  <si>
    <t xml:space="preserve">Developing critical minds: An ethnographic study on the implementation of conspiracy theories to foster critical digital literacy in English language classrooms</t>
  </si>
  <si>
    <t xml:space="preserve">135</t>
  </si>
  <si>
    <t xml:space="preserve">103871</t>
  </si>
  <si>
    <t xml:space="preserve">2-s2.0-105046110273</t>
  </si>
  <si>
    <t xml:space="preserve">10.5565/rev/educar.2510</t>
  </si>
  <si>
    <t xml:space="preserve">González-Villa, Á., &amp; Gewerc, A.</t>
  </si>
  <si>
    <t xml:space="preserve">Adolescent practices of privacy negotiation on Instagram: the need for critical digital literacy in schools</t>
  </si>
  <si>
    <t xml:space="preserve">Educar</t>
  </si>
  <si>
    <t xml:space="preserve">62</t>
  </si>
  <si>
    <t xml:space="preserve">429-445</t>
  </si>
  <si>
    <t xml:space="preserve">2-s2.0-85146978440</t>
  </si>
  <si>
    <t xml:space="preserve">Gouseti, A., Lakkala, M., Raffaghelli, J., Ranieri, M., Roffi, A., &amp; Ilomäki, L.</t>
  </si>
  <si>
    <t xml:space="preserve">76</t>
  </si>
  <si>
    <t xml:space="preserve">1751-1785</t>
  </si>
  <si>
    <t xml:space="preserve">2-s2.0-105051970934</t>
  </si>
  <si>
    <t xml:space="preserve">10.1111/ijal.70384</t>
  </si>
  <si>
    <t xml:space="preserve">Green‐Eneix, C., &amp; Kohnke, L.</t>
  </si>
  <si>
    <t xml:space="preserve">Equipping L2 Teachers for Linguistic Justice in the Age of Generative AI: A Generative-Curator Heuristic</t>
  </si>
  <si>
    <t xml:space="preserve">International Journal of Applied Linguistics United Kingdom</t>
  </si>
  <si>
    <t xml:space="preserve">2-s2.0-85204637420</t>
  </si>
  <si>
    <t xml:space="preserve">10.1080/1554480X.2024.2379787</t>
  </si>
  <si>
    <t xml:space="preserve">Gutiérrez-Ujaque, D.</t>
  </si>
  <si>
    <t xml:space="preserve">Towards a critical digital literacy and consciousness in higher education: the emancipatory role of critical digital pedagogy</t>
  </si>
  <si>
    <t xml:space="preserve">19</t>
  </si>
  <si>
    <t xml:space="preserve">337-371</t>
  </si>
  <si>
    <t xml:space="preserve">2-s2.0-85039459202</t>
  </si>
  <si>
    <t xml:space="preserve">10.1002/jaal.713</t>
  </si>
  <si>
    <t xml:space="preserve">Harrison, C.</t>
  </si>
  <si>
    <t xml:space="preserve">Critical Internet Literacy: What Is It, and How Should We Teach It?</t>
  </si>
  <si>
    <t xml:space="preserve">461-464</t>
  </si>
  <si>
    <t xml:space="preserve">2-s2.0-85074061302</t>
  </si>
  <si>
    <t xml:space="preserve">Hauck, M.</t>
  </si>
  <si>
    <t xml:space="preserve">11</t>
  </si>
  <si>
    <t xml:space="preserve">187-210</t>
  </si>
  <si>
    <t xml:space="preserve">2-s2.0-105040212695</t>
  </si>
  <si>
    <t xml:space="preserve">10.24071/llt.v29i1.619</t>
  </si>
  <si>
    <t xml:space="preserve">Hendriwanto, &amp; I. De Costa, P.</t>
  </si>
  <si>
    <t xml:space="preserve">DECOLONIZING ACADEMIC WRITING IN THE AGE OF AI: A PHOTOVOICE STUDY THROUGH A CRITICAL DIGITAL LITERACY LENS</t>
  </si>
  <si>
    <t xml:space="preserve">Llt Journal Journal on Language and Language Teaching</t>
  </si>
  <si>
    <t xml:space="preserve">51-73</t>
  </si>
  <si>
    <t xml:space="preserve">United States; Indonesia</t>
  </si>
  <si>
    <t xml:space="preserve">2-s2.0-85175666285</t>
  </si>
  <si>
    <t xml:space="preserve">Hendrix-Soto, A., [+1 co-author]</t>
  </si>
  <si>
    <t xml:space="preserve">Critical Approaches to Media Literacy in Teacher Education: Accounting for the Challenges of Post-Truth Politics</t>
  </si>
  <si>
    <t xml:space="preserve">Journal of Language and Literacy Education</t>
  </si>
  <si>
    <t xml:space="preserve">2-s2.0-85042422356</t>
  </si>
  <si>
    <t xml:space="preserve">10.1002/jaal.726</t>
  </si>
  <si>
    <t xml:space="preserve">Heppeler, J., &amp; Manderino, M.</t>
  </si>
  <si>
    <t xml:space="preserve">Critical Media Literacy in the Disciplines: Using 13th to Support Historical Argumentation</t>
  </si>
  <si>
    <t xml:space="preserve">567-571</t>
  </si>
  <si>
    <t xml:space="preserve">2-s2.0-105051771180</t>
  </si>
  <si>
    <t xml:space="preserve">Herrera Urízar, G.</t>
  </si>
  <si>
    <t xml:space="preserve">Critical Digital Literacy to Confront (Neo)fascism Among Young People in the Platform Era: A Narrative Review</t>
  </si>
  <si>
    <t xml:space="preserve">Journal for Critical Education Policy Studies</t>
  </si>
  <si>
    <t xml:space="preserve">181-206</t>
  </si>
  <si>
    <t xml:space="preserve">2-s2.0-105017817458</t>
  </si>
  <si>
    <t xml:space="preserve">10.1016/j.system.2025.103867</t>
  </si>
  <si>
    <t xml:space="preserve">Ho, W. Y. J., &amp; Hafner, C. A.</t>
  </si>
  <si>
    <t xml:space="preserve">Representations of diversity, equity, and inclusion in airline safety videos: Insights for fostering students’ critical digital literacies</t>
  </si>
  <si>
    <t xml:space="preserve">103867</t>
  </si>
  <si>
    <t xml:space="preserve">2-s2.0-85077553556</t>
  </si>
  <si>
    <t xml:space="preserve">10.1108/ETPC-05-2019-0067</t>
  </si>
  <si>
    <t xml:space="preserve">Hosek, V. A., &amp; Handsfield, L. J.</t>
  </si>
  <si>
    <t xml:space="preserve">Monological practices, authoritative discourses and the missing “C” in digital classroom communities</t>
  </si>
  <si>
    <t xml:space="preserve">English Teaching</t>
  </si>
  <si>
    <t xml:space="preserve">79-93</t>
  </si>
  <si>
    <t xml:space="preserve">2-s2.0-85052653213</t>
  </si>
  <si>
    <t xml:space="preserve">10.1016/j.compcom.2018.07.006</t>
  </si>
  <si>
    <t xml:space="preserve">Hutchinson, L., &amp; Novotny, M.</t>
  </si>
  <si>
    <t xml:space="preserve">Teaching a Critical Digital Literacy of Wearables: A Feminist Surveillance as Care Pedagogy</t>
  </si>
  <si>
    <t xml:space="preserve">50</t>
  </si>
  <si>
    <t xml:space="preserve">105-120</t>
  </si>
  <si>
    <t xml:space="preserve">2-s2.0-85171776388</t>
  </si>
  <si>
    <t xml:space="preserve">Ilomäki, L., Lakkala, M., Kallunki, V., Mundy, D., Romero, M., Romeu, T., &amp; Gouseti, A.</t>
  </si>
  <si>
    <t xml:space="preserve">e3425</t>
  </si>
  <si>
    <t xml:space="preserve">2-s2.0-105015720389</t>
  </si>
  <si>
    <t xml:space="preserve">10.1007/s10791-025-09720-0</t>
  </si>
  <si>
    <t xml:space="preserve">Javahery, P., Alpat, M. F., &amp; Kamali, J.</t>
  </si>
  <si>
    <t xml:space="preserve">Exploring Iranian novice EFL trainees' perceptions of ChatGPT use for lesson planning through a critical digital literacy lens</t>
  </si>
  <si>
    <t xml:space="preserve">Discover Computing</t>
  </si>
  <si>
    <t xml:space="preserve">194</t>
  </si>
  <si>
    <t xml:space="preserve">2-s2.0-105036421715</t>
  </si>
  <si>
    <t xml:space="preserve">10.37074/jalt.2026.9.1.10</t>
  </si>
  <si>
    <t xml:space="preserve">#LearnEnglish: Social media, language learning, and the need for critical digital literacy</t>
  </si>
  <si>
    <t xml:space="preserve">Journal of Applied Learning and Teaching</t>
  </si>
  <si>
    <t xml:space="preserve">68-87</t>
  </si>
  <si>
    <t xml:space="preserve">2-s2.0-105036241900</t>
  </si>
  <si>
    <t xml:space="preserve">10.1017/S168209832610040X</t>
  </si>
  <si>
    <t xml:space="preserve">Jester, N., Papamichail, A., Le Bourdon, M., &amp; Pears, L.</t>
  </si>
  <si>
    <t xml:space="preserve">Doing world politics and social media: Digital practice and open education in international relations</t>
  </si>
  <si>
    <t xml:space="preserve">European Political Science</t>
  </si>
  <si>
    <t xml:space="preserve">223-235</t>
  </si>
  <si>
    <t xml:space="preserve">2-s2.0-105018361460</t>
  </si>
  <si>
    <t xml:space="preserve">10.1016/j.system.2025.103870</t>
  </si>
  <si>
    <t xml:space="preserve">Jiang, L., &amp; Gu, M. M.</t>
  </si>
  <si>
    <t xml:space="preserve">Enabling critical digital literacies through GenAI-assisted multimodal composing: A longitudinal inquiry of an ethnic minority english teacher</t>
  </si>
  <si>
    <t xml:space="preserve">103870</t>
  </si>
  <si>
    <t xml:space="preserve">2-s2.0-105040344454</t>
  </si>
  <si>
    <t xml:space="preserve">10.34105/j.kmel.2026.18.010</t>
  </si>
  <si>
    <t xml:space="preserve">Jiménez Torras, D., Noguera Pigem, E., &amp; Lara Blanco, S.</t>
  </si>
  <si>
    <t xml:space="preserve">Critical digital literacy for Catalan high school students: Co-design of an educational module around an indie video game</t>
  </si>
  <si>
    <t xml:space="preserve">Knowledge Management and E Learning</t>
  </si>
  <si>
    <t xml:space="preserve">216-233</t>
  </si>
  <si>
    <t xml:space="preserve">2-s2.0-105044761264</t>
  </si>
  <si>
    <t xml:space="preserve">10.1016/j.jeap.2026.101737</t>
  </si>
  <si>
    <t xml:space="preserve">Kang, J., &amp; Lee, S.</t>
  </si>
  <si>
    <t xml:space="preserve">Developing fine-tuned prompt literacy in EAP: Graduate students’ experiences with customized GPT for academic inquiry</t>
  </si>
  <si>
    <t xml:space="preserve">Journal of English for Academic Purposes</t>
  </si>
  <si>
    <t xml:space="preserve">83</t>
  </si>
  <si>
    <t xml:space="preserve">101737</t>
  </si>
  <si>
    <t xml:space="preserve">2-s2.0-85018352131</t>
  </si>
  <si>
    <t xml:space="preserve">10.1002/jaal.614</t>
  </si>
  <si>
    <t xml:space="preserve">Kelly, C., &amp; Brower, C.</t>
  </si>
  <si>
    <t xml:space="preserve">Making Meaning Through Media: Scaffolding Academic and Critical Media Literacy With Texts About Schooling</t>
  </si>
  <si>
    <t xml:space="preserve">60</t>
  </si>
  <si>
    <t xml:space="preserve">655-666</t>
  </si>
  <si>
    <t xml:space="preserve">2-s2.0-85178434081</t>
  </si>
  <si>
    <t xml:space="preserve">10.46451/ijts.2022.03.10</t>
  </si>
  <si>
    <t xml:space="preserve">Ketzer-Nöltge, A., &amp; Markovic, M.</t>
  </si>
  <si>
    <t xml:space="preserve">Fostering Pre-Service Teachers’ Information and Critical Digital Literacy Skills Through a COIL Project</t>
  </si>
  <si>
    <t xml:space="preserve">International Journal of Tesol Studies</t>
  </si>
  <si>
    <t xml:space="preserve">125-142</t>
  </si>
  <si>
    <t xml:space="preserve">2-s2.0-105023156254</t>
  </si>
  <si>
    <t xml:space="preserve">10.1016/j.system.2025.103930</t>
  </si>
  <si>
    <t xml:space="preserve">Kim, N., Cheung, M. M., Lee, V. W. Y., &amp; De Costa, P. I.</t>
  </si>
  <si>
    <t xml:space="preserve">Centering critical digital literacy in the lives of language teaching professionals: A collaborative autoethnographic exploration</t>
  </si>
  <si>
    <t xml:space="preserve">137</t>
  </si>
  <si>
    <t xml:space="preserve">103930</t>
  </si>
  <si>
    <t xml:space="preserve">2-s2.0-105038787719</t>
  </si>
  <si>
    <t xml:space="preserve">10.1111/lit.70037</t>
  </si>
  <si>
    <t xml:space="preserve">Kim, S., &amp; Jeong, H.</t>
  </si>
  <si>
    <t xml:space="preserve">Coconstructing Critical and Digital Media Literacies Through Creative Pedagogies: A Case Study in a South Korean Elementary Classroom</t>
  </si>
  <si>
    <t xml:space="preserve">Literacy</t>
  </si>
  <si>
    <t xml:space="preserve">e70037</t>
  </si>
  <si>
    <t xml:space="preserve">2-s2.0-85094929701</t>
  </si>
  <si>
    <t xml:space="preserve">10.1080/10350330.2020.1836815</t>
  </si>
  <si>
    <t xml:space="preserve">Knight, J., Dooly, M., &amp; Barberà, E.</t>
  </si>
  <si>
    <t xml:space="preserve">Getting smart: towards critical digital literacy pedagogies</t>
  </si>
  <si>
    <t xml:space="preserve">Social Semiotics</t>
  </si>
  <si>
    <t xml:space="preserve">33</t>
  </si>
  <si>
    <t xml:space="preserve">326-349</t>
  </si>
  <si>
    <t xml:space="preserve">2-s2.0-85071146582</t>
  </si>
  <si>
    <t xml:space="preserve">10.1080/10665684.2019.1647809</t>
  </si>
  <si>
    <t xml:space="preserve">Kwon, L., &amp; de los Ríos, C. V.</t>
  </si>
  <si>
    <t xml:space="preserve">“See, Click, Fix”: Civic Interrogation and Digital Tools in a Ninth-Grade Ethnic Studies Course</t>
  </si>
  <si>
    <t xml:space="preserve">Equity and Excellence in Education</t>
  </si>
  <si>
    <t xml:space="preserve">52</t>
  </si>
  <si>
    <t xml:space="preserve">2-3</t>
  </si>
  <si>
    <t xml:space="preserve">154-166</t>
  </si>
  <si>
    <t xml:space="preserve">2-s2.0-105053839720</t>
  </si>
  <si>
    <t xml:space="preserve">10.4102/rw.v17i1.700</t>
  </si>
  <si>
    <t xml:space="preserve">Lalira, J. E., &amp; Warouw, M. P.</t>
  </si>
  <si>
    <t xml:space="preserve">Critical digital literacy enacted by Indonesian first-year undergraduates: A corpus-assisted study</t>
  </si>
  <si>
    <t xml:space="preserve">Reading and Writing South Africa</t>
  </si>
  <si>
    <t xml:space="preserve">17</t>
  </si>
  <si>
    <t xml:space="preserve">a700</t>
  </si>
  <si>
    <t xml:space="preserve">2-s2.0-85107137384</t>
  </si>
  <si>
    <t xml:space="preserve">10.1080/1554480X.2021.1914056</t>
  </si>
  <si>
    <t xml:space="preserve">Lewis, C., Crampton, A., &amp; Scharber, C.</t>
  </si>
  <si>
    <t xml:space="preserve">The sociocultural role of imagination in critical digital literacy</t>
  </si>
  <si>
    <t xml:space="preserve">154-172</t>
  </si>
  <si>
    <t xml:space="preserve">2-s2.0-105021111826</t>
  </si>
  <si>
    <t xml:space="preserve">10.1016/j.system.2025.103904</t>
  </si>
  <si>
    <t xml:space="preserve">Lim, K. Y., &amp; Darvin, R.</t>
  </si>
  <si>
    <t xml:space="preserve">Critical digital literacies, generative AI, and the negotiation of agency in human-AI interactions</t>
  </si>
  <si>
    <t xml:space="preserve">136</t>
  </si>
  <si>
    <t xml:space="preserve">103904</t>
  </si>
  <si>
    <t xml:space="preserve">2-s2.0-85166657046</t>
  </si>
  <si>
    <t xml:space="preserve">10.1080/01434632.2023.2241859</t>
  </si>
  <si>
    <t xml:space="preserve">Liu, G.</t>
  </si>
  <si>
    <t xml:space="preserve">Interrogating critical digital literacies in the Chinese context: insights from an ethnographic case study</t>
  </si>
  <si>
    <t xml:space="preserve">Journal of Multilingual and Multicultural Development</t>
  </si>
  <si>
    <t xml:space="preserve">1695-1713</t>
  </si>
  <si>
    <t xml:space="preserve">2-s2.0-85189013690</t>
  </si>
  <si>
    <t xml:space="preserve">10.3390/su16062253</t>
  </si>
  <si>
    <t xml:space="preserve">Lo, H.-C., Wang, T.-H., &amp; Chen, R.-S.</t>
  </si>
  <si>
    <t xml:space="preserve">Enhancing Critical Digital Literacy of Preservice Preschool Teachers through Service Learning: The Moderator of Online Social Capital</t>
  </si>
  <si>
    <t xml:space="preserve">Sustainability Switzerland</t>
  </si>
  <si>
    <t xml:space="preserve">2253</t>
  </si>
  <si>
    <t xml:space="preserve">2-s2.0-84953290966</t>
  </si>
  <si>
    <t xml:space="preserve">10.1080/09650792.2015.1106957</t>
  </si>
  <si>
    <t xml:space="preserve">Lohnes Watulak, S.</t>
  </si>
  <si>
    <t xml:space="preserve">Reflection in action: using inquiry groups to explore critical digital literacy with pre-service teachers</t>
  </si>
  <si>
    <t xml:space="preserve">Educational Action Research</t>
  </si>
  <si>
    <t xml:space="preserve">503-518</t>
  </si>
  <si>
    <t xml:space="preserve">2-s2.0-105003655871</t>
  </si>
  <si>
    <t xml:space="preserve">10.56294/mr2024.104</t>
  </si>
  <si>
    <t xml:space="preserve">Lucero Baldevenites, E. V., Jurado-Vásquez, H. A., Espinel, J. E., Bracho-Fuenmayor, P. L., &amp; Contreras-Piña, G.</t>
  </si>
  <si>
    <t xml:space="preserve">Glossary of emerging terms in artificial intelligence and metaverses from a sociotechnical and educational perspective</t>
  </si>
  <si>
    <t xml:space="preserve">Metaverse Basic and Applied Research</t>
  </si>
  <si>
    <t xml:space="preserve">104</t>
  </si>
  <si>
    <t xml:space="preserve">2-s2.0-85117950121</t>
  </si>
  <si>
    <t xml:space="preserve">10.1016/j.compcom.2021.102679</t>
  </si>
  <si>
    <t xml:space="preserve">Lueck, A. J., &amp; Bachen, C. M.</t>
  </si>
  <si>
    <t xml:space="preserve">Composing (with/in) extended reality: How students name their experiences with immersive technologies</t>
  </si>
  <si>
    <t xml:space="preserve">102679</t>
  </si>
  <si>
    <t xml:space="preserve">2-s2.0-105023076313</t>
  </si>
  <si>
    <t xml:space="preserve">10.3390/bs15111568</t>
  </si>
  <si>
    <t xml:space="preserve">López-de-Arana Prado, E.</t>
  </si>
  <si>
    <t xml:space="preserve">Reconceptualising the Digital Gender Divide, Accommodating New Forms of Virtual Gender-Based Violence</t>
  </si>
  <si>
    <t xml:space="preserve">Behavioral Sciences</t>
  </si>
  <si>
    <t xml:space="preserve">1568</t>
  </si>
  <si>
    <t xml:space="preserve">2-s2.0-105043711991</t>
  </si>
  <si>
    <t xml:space="preserve">10.21556/edutec.2026.96.4421</t>
  </si>
  <si>
    <t xml:space="preserve">López-Fernández, R., George-Reyes, C. E., Sorhegui-Ortega, R. A., &amp; Sandoval-Benítez, L. F.</t>
  </si>
  <si>
    <t xml:space="preserve">Artificial intelligence in higher education: a gender analysis of ethical and regulatory perspectives across five international scenarios</t>
  </si>
  <si>
    <t xml:space="preserve">96</t>
  </si>
  <si>
    <t xml:space="preserve">2-s2.0-105014755370</t>
  </si>
  <si>
    <t xml:space="preserve">10.1186/s40862-025-00350-z</t>
  </si>
  <si>
    <t xml:space="preserve">Mahapatra, S., &amp; Koltovskaia, S.</t>
  </si>
  <si>
    <t xml:space="preserve">A framework for focalising critical digital literacies in second language teacher education in the Global South</t>
  </si>
  <si>
    <t xml:space="preserve">Asian Pacific Journal of Second and Foreign Language Education</t>
  </si>
  <si>
    <t xml:space="preserve">10</t>
  </si>
  <si>
    <t xml:space="preserve">44</t>
  </si>
  <si>
    <t xml:space="preserve">2-s2.0-85213857568</t>
  </si>
  <si>
    <t xml:space="preserve">10.17576/3L-2024-3004-21</t>
  </si>
  <si>
    <t xml:space="preserve">Mahmoud Abdelhalim, S.</t>
  </si>
  <si>
    <t xml:space="preserve">Critical Digital Literacy and the Dynamics of English Language Learning Practices: Saudi Perspectives</t>
  </si>
  <si>
    <t xml:space="preserve">3l Language Linguistics Literature</t>
  </si>
  <si>
    <t xml:space="preserve">306-324</t>
  </si>
  <si>
    <t xml:space="preserve">2-s2.0-105020857323</t>
  </si>
  <si>
    <t xml:space="preserve">10.17471/2499-4324/1301</t>
  </si>
  <si>
    <t xml:space="preserve">Maiorana, F., Altieri, S., Colli, A., Labri, M., Nazzaro, L., Porta, M., Severi, A., &amp; Cristaldi, G.</t>
  </si>
  <si>
    <t xml:space="preserve">Critical digital literacy and active citizenship at school: The experience of the Scientix Ambassadors</t>
  </si>
  <si>
    <t xml:space="preserve">Italian Journal of Educational Technology</t>
  </si>
  <si>
    <t xml:space="preserve">31</t>
  </si>
  <si>
    <t xml:space="preserve">71-79</t>
  </si>
  <si>
    <t xml:space="preserve">2-s2.0-85083370924</t>
  </si>
  <si>
    <t xml:space="preserve">10.18261/ISSN.1891-943X-2019-03-04-04</t>
  </si>
  <si>
    <t xml:space="preserve">Martinez, C.</t>
  </si>
  <si>
    <t xml:space="preserve">Promoting critical digital literacy in the leisure-time center: Views and practices among Swedish leisure-time teachers</t>
  </si>
  <si>
    <t xml:space="preserve">Nordic Journal of Digital Literacy</t>
  </si>
  <si>
    <t xml:space="preserve">3-4</t>
  </si>
  <si>
    <t xml:space="preserve">04</t>
  </si>
  <si>
    <t xml:space="preserve">2-s2.0-85064838339</t>
  </si>
  <si>
    <t xml:space="preserve">10.1002/jaal.951</t>
  </si>
  <si>
    <t xml:space="preserve">McArthur, S. A.</t>
  </si>
  <si>
    <t xml:space="preserve">Centering Student Identities in Critical Media Literacy Instruction</t>
  </si>
  <si>
    <t xml:space="preserve">686-689</t>
  </si>
  <si>
    <t xml:space="preserve">2-s2.0-105045879931</t>
  </si>
  <si>
    <t xml:space="preserve">10.1080/17482798.2026.2705213</t>
  </si>
  <si>
    <t xml:space="preserve">McGee, T., Coopilton, M., English, D., Tynes, B. M., Gibson, S. M., Kahne, J., &amp; Willis, H. A.</t>
  </si>
  <si>
    <t xml:space="preserve">U.S. adolescents’ critical race digital literacy skills: Demographic variables and learning opportunities as contributing factors</t>
  </si>
  <si>
    <t xml:space="preserve">Journal of Children and Media</t>
  </si>
  <si>
    <t xml:space="preserve">2-s2.0-85006257440</t>
  </si>
  <si>
    <t xml:space="preserve">10.1080/07380569.2016.1246883</t>
  </si>
  <si>
    <t xml:space="preserve">McNicol, S.</t>
  </si>
  <si>
    <t xml:space="preserve">Responding to Concerns About Online Radicalization in U.K. Schools Through a Radicalization Critical Digital Literacy Approach</t>
  </si>
  <si>
    <t xml:space="preserve">Computers in the Schools</t>
  </si>
  <si>
    <t xml:space="preserve">227-238</t>
  </si>
  <si>
    <t xml:space="preserve">2-s2.0-85120359325</t>
  </si>
  <si>
    <t xml:space="preserve">Mesquita-Romero, W.-A., Fernández-Morante, C., &amp; Cebreiro-López, B.</t>
  </si>
  <si>
    <t xml:space="preserve">41-51</t>
  </si>
  <si>
    <t xml:space="preserve">2-s2.0-85095761805</t>
  </si>
  <si>
    <t xml:space="preserve">10.18261/issn.1891-943x-2020-03-02</t>
  </si>
  <si>
    <t xml:space="preserve">Molin, L., &amp; Godhe, A.-L.</t>
  </si>
  <si>
    <t xml:space="preserve">Students’ critical analyses of prominent perspectives in a digital multimodal text</t>
  </si>
  <si>
    <t xml:space="preserve">153-164</t>
  </si>
  <si>
    <t xml:space="preserve">2-s2.0-105010676289</t>
  </si>
  <si>
    <t xml:space="preserve">Moorhouse, B. L., Wan, Y., Wu, C., Wu, M., &amp; Ho, T. Y.</t>
  </si>
  <si>
    <t xml:space="preserve">103779</t>
  </si>
  <si>
    <t xml:space="preserve">2-s2.0-105032689737</t>
  </si>
  <si>
    <t xml:space="preserve">10.1344/der.2026.48.69-83</t>
  </si>
  <si>
    <t xml:space="preserve">Moreno-González, A., Rivera-Vargas, P., Calderón-Garrido, D., &amp; Fardella, C.</t>
  </si>
  <si>
    <t xml:space="preserve">BETWEEN PROTECTION AND PARTICIPATION: PRIMARY SCHOOL STUDENTS’ EXPERIENCES IN CONTEXTS OF EDUCATIONAL PLATFORMIZATION</t>
  </si>
  <si>
    <t xml:space="preserve">Digital Education Review</t>
  </si>
  <si>
    <t xml:space="preserve">48</t>
  </si>
  <si>
    <t xml:space="preserve">69-83</t>
  </si>
  <si>
    <t xml:space="preserve">2-s2.0-105037805278</t>
  </si>
  <si>
    <t xml:space="preserve">10.1080/14681366.2026.2668652</t>
  </si>
  <si>
    <t xml:space="preserve">Morrison, C., &amp; Hoben, J.</t>
  </si>
  <si>
    <t xml:space="preserve">Rethinking education in the algorithmic age: a model for AI digital literacy and identity</t>
  </si>
  <si>
    <t xml:space="preserve">1283-1300</t>
  </si>
  <si>
    <t xml:space="preserve">2-s2.0-85198736078</t>
  </si>
  <si>
    <t xml:space="preserve">10.58304/ijts.20230102</t>
  </si>
  <si>
    <t xml:space="preserve">Mun, L. K., &amp; Luu, J.</t>
  </si>
  <si>
    <t xml:space="preserve">Re-inventing Critical Thinking and Writing Tasks Using a CDL Approach</t>
  </si>
  <si>
    <t xml:space="preserve">5-21</t>
  </si>
  <si>
    <t xml:space="preserve">2-s2.0-85094633784</t>
  </si>
  <si>
    <t xml:space="preserve">10.1017/S0958344020000130</t>
  </si>
  <si>
    <t xml:space="preserve">Murray, L., Giralt, M., &amp; Benini, S.</t>
  </si>
  <si>
    <t xml:space="preserve">Extending digital literacies: Proposing an agentive literacy to tackle the problems of distractive technologies in language learning</t>
  </si>
  <si>
    <t xml:space="preserve">32</t>
  </si>
  <si>
    <t xml:space="preserve">250-271</t>
  </si>
  <si>
    <t xml:space="preserve">2-s2.0-105019319351</t>
  </si>
  <si>
    <t xml:space="preserve">Muñoz-Saavedra, J., [+1 co-author]</t>
  </si>
  <si>
    <t xml:space="preserve">Hegemonic Masculinities, Antifeminism, and Platform Capitalism. Analysis and Action in a Critical Digital Literacy Experience in Higher Education</t>
  </si>
  <si>
    <t xml:space="preserve">Izquierdas</t>
  </si>
  <si>
    <t xml:space="preserve">2-s2.0-85188861397</t>
  </si>
  <si>
    <t xml:space="preserve">10.4018/IJMBL.312184</t>
  </si>
  <si>
    <t xml:space="preserve">Noble, A., &amp; Gachago, D.</t>
  </si>
  <si>
    <t xml:space="preserve">Developing Critical Digital Literacies Through Digital Storytelling: Student Attempts at Re-Telling the District Six Story</t>
  </si>
  <si>
    <t xml:space="preserve">International Journal of Mobile and Blended Learning</t>
  </si>
  <si>
    <t xml:space="preserve">2-s2.0-85174682656</t>
  </si>
  <si>
    <t xml:space="preserve">10.14198/MEDCOM.24140</t>
  </si>
  <si>
    <t xml:space="preserve">Nogales-Bocio, A.-I.</t>
  </si>
  <si>
    <t xml:space="preserve">Critical media literacy from an empirical-philosophical-journalistic methodology: a structural approach for educommunication</t>
  </si>
  <si>
    <t xml:space="preserve">Revista Mediterranea De Comunicacion</t>
  </si>
  <si>
    <t xml:space="preserve">227-242</t>
  </si>
  <si>
    <t xml:space="preserve">2-s2.0-105048422907</t>
  </si>
  <si>
    <t xml:space="preserve">10.3167/jemms.2025.170207</t>
  </si>
  <si>
    <t xml:space="preserve">Okoi, O.</t>
  </si>
  <si>
    <t xml:space="preserve">Postdigital Constructivist Pedagogy: A Theoretical Reconfiguration of Climate and Peace Education</t>
  </si>
  <si>
    <t xml:space="preserve">Journal of Educational Media Memory and Society</t>
  </si>
  <si>
    <t xml:space="preserve">140-158</t>
  </si>
  <si>
    <t xml:space="preserve">2-s2.0-105043359807</t>
  </si>
  <si>
    <t xml:space="preserve">10.14201/teri.32815</t>
  </si>
  <si>
    <t xml:space="preserve">Pattier, D.</t>
  </si>
  <si>
    <t xml:space="preserve">TIKTONIAN BRAIN: COGNITION AND LEARNING IN ALGORITHMIC DIGITAL CULTURE</t>
  </si>
  <si>
    <t xml:space="preserve">Teoria De La Educacion</t>
  </si>
  <si>
    <t xml:space="preserve">211-229</t>
  </si>
  <si>
    <t xml:space="preserve">2-s2.0-105028754138</t>
  </si>
  <si>
    <t xml:space="preserve">10.3390/bs16010011</t>
  </si>
  <si>
    <t xml:space="preserve">Pedraja-Rejas, L., Lazo Vega, P., &amp; Rojas Huanca, P.</t>
  </si>
  <si>
    <t xml:space="preserve">Navigating Ambivalence: Artificial Intelligence and Its Impact on Student Engagement in Engineering Education</t>
  </si>
  <si>
    <t xml:space="preserve">2-s2.0-105044002015</t>
  </si>
  <si>
    <t xml:space="preserve">10.21556/edutec.2026.96.5003</t>
  </si>
  <si>
    <t xml:space="preserve">Peguera-Carré, M. C., Orellana Hernandez, M. L., Buils, S., &amp; Villagrá Sobrino, S. L.</t>
  </si>
  <si>
    <t xml:space="preserve">Open educational practices in higher education: analysis of set design through the CoDiCri ACAD toolkit</t>
  </si>
  <si>
    <t xml:space="preserve">2-s2.0-85126293139</t>
  </si>
  <si>
    <t xml:space="preserve">10.37132/isl.v0i14.328</t>
  </si>
  <si>
    <t xml:space="preserve">Pino, M. S. d., &amp; Permisán, C. G.</t>
  </si>
  <si>
    <t xml:space="preserve">Critical Literacy and the Media: Teachers in Training in the Face of Hate Speech</t>
  </si>
  <si>
    <t xml:space="preserve">Investigaciones Sobre Lectura</t>
  </si>
  <si>
    <t xml:space="preserve">181-212</t>
  </si>
  <si>
    <t xml:space="preserve">2-s2.0-85073358398</t>
  </si>
  <si>
    <t xml:space="preserve">Pötzsch, H.</t>
  </si>
  <si>
    <t xml:space="preserve">221-240</t>
  </si>
  <si>
    <t xml:space="preserve">Germany; Norway</t>
  </si>
  <si>
    <t xml:space="preserve">2-s2.0-105044657789</t>
  </si>
  <si>
    <t xml:space="preserve">10.1016/j.nedt.2026.107278</t>
  </si>
  <si>
    <t xml:space="preserve">Rahman, R.</t>
  </si>
  <si>
    <t xml:space="preserve">Vibe coding in nursing education: From user to creator</t>
  </si>
  <si>
    <t xml:space="preserve">Nurse Education Today</t>
  </si>
  <si>
    <t xml:space="preserve">166</t>
  </si>
  <si>
    <t xml:space="preserve">107278</t>
  </si>
  <si>
    <t xml:space="preserve">2-s2.0-105032656699</t>
  </si>
  <si>
    <t xml:space="preserve">10.1344/der.2026.48.84-93</t>
  </si>
  <si>
    <t xml:space="preserve">Regueira, U., González-Villa, Á., Rodríguez-González, C., &amp; Gewerc, A.</t>
  </si>
  <si>
    <t xml:space="preserve">LOOKING TO BE SEEN: GENDERED SELFSURVEILLANCE AND THE CHALLENGES OF CRITICAL DIGITAL LITERACY IN A PLATFORMIZED ADOLESCENCE</t>
  </si>
  <si>
    <t xml:space="preserve">84-93</t>
  </si>
  <si>
    <t xml:space="preserve">2-s2.0-85111517901</t>
  </si>
  <si>
    <t xml:space="preserve">10.1016/j.compcom.2021.102652</t>
  </si>
  <si>
    <t xml:space="preserve">Reilly, C. A.</t>
  </si>
  <si>
    <t xml:space="preserve">Reading risk: Preparing students to develop critical digital literacies and advocate for privacy in digital spaces</t>
  </si>
  <si>
    <t xml:space="preserve">102652</t>
  </si>
  <si>
    <t xml:space="preserve">2-s2.0-105032117820</t>
  </si>
  <si>
    <t xml:space="preserve">10.3389/feduc.2026.1716735</t>
  </si>
  <si>
    <t xml:space="preserve">Rodas-Coloma, A., Cabezas-González, M., Casillas-Martín, S., &amp; Nevado-Batalla Moreno, P.</t>
  </si>
  <si>
    <t xml:space="preserve">From virality to pedagogy: a systematic and comprehensive review of TikTok's educational use in South America</t>
  </si>
  <si>
    <t xml:space="preserve">Frontiers in Education</t>
  </si>
  <si>
    <t xml:space="preserve">1716735</t>
  </si>
  <si>
    <t xml:space="preserve">2-s2.0-105044055600</t>
  </si>
  <si>
    <t xml:space="preserve">Salazar-Jiménez, R., Orellana Fonseca, C., &amp; Fuentes Rodríguez, C.</t>
  </si>
  <si>
    <t xml:space="preserve">INITIAL TEACHER EDUCATION AND DIGITAL CITIZENSHIP: TENSIONS AND CHALLENGES IN SOCIAL STUDIES EDUCATION</t>
  </si>
  <si>
    <t xml:space="preserve">Interciencia</t>
  </si>
  <si>
    <t xml:space="preserve">51</t>
  </si>
  <si>
    <t xml:space="preserve">313-321</t>
  </si>
  <si>
    <t xml:space="preserve">2-s2.0-105044863875</t>
  </si>
  <si>
    <t xml:space="preserve">10.1344/der.2026.49.278-292</t>
  </si>
  <si>
    <t xml:space="preserve">Samaniego, J. M., &amp; Digón-Regueiro, P.</t>
  </si>
  <si>
    <t xml:space="preserve">CRITICAL DIGITAL LITEARCY IN THE SPANISH COMPULSORY SECONDARI EDUCATION</t>
  </si>
  <si>
    <t xml:space="preserve">278-292</t>
  </si>
  <si>
    <t xml:space="preserve">2-s2.0-85085026420</t>
  </si>
  <si>
    <t xml:space="preserve">10.1080/11356405.2020.1741875</t>
  </si>
  <si>
    <t xml:space="preserve">Santisteban, A., Díez-Bedmar, M.-C., &amp; Castellví, J.</t>
  </si>
  <si>
    <t xml:space="preserve">Critical digital literacy of future teachers in the Twitter Age (La alfabetización crítica digital del futuro profesorado en tiempos de Twitter) (La alfabetización crítica digital del futuro profesorado en tiempos de Twitter)</t>
  </si>
  <si>
    <t xml:space="preserve">Cultura Y Educacion</t>
  </si>
  <si>
    <t xml:space="preserve">185-212</t>
  </si>
  <si>
    <t xml:space="preserve">2-s2.0-85179821619</t>
  </si>
  <si>
    <t xml:space="preserve">Satar, M., Hauck, M., &amp; Bilki, Z.</t>
  </si>
  <si>
    <t xml:space="preserve">Multimodal representation in virtual exchange: A social semiotic approach to critical digital literacy</t>
  </si>
  <si>
    <t xml:space="preserve">Language Learning and Technology</t>
  </si>
  <si>
    <t xml:space="preserve">27</t>
  </si>
  <si>
    <t xml:space="preserve">72-96</t>
  </si>
  <si>
    <t xml:space="preserve">2-s2.0-85014381950</t>
  </si>
  <si>
    <t xml:space="preserve">10.1002/jaal.617</t>
  </si>
  <si>
    <t xml:space="preserve">Saunders, J. M., Ash, G. E., Salazar, I., Pruitt, R., Wallach, D., Breed, E., Saldana, S., &amp; Szachacz, A.</t>
  </si>
  <si>
    <t xml:space="preserve">“We're Already Somebody”: High School Students Practicing Critical Media Literacy IRL (in Real Life)</t>
  </si>
  <si>
    <t xml:space="preserve">515-526</t>
  </si>
  <si>
    <t xml:space="preserve">2-s2.0-85208228543</t>
  </si>
  <si>
    <t xml:space="preserve">10.1097/NNE.0000000000001760</t>
  </si>
  <si>
    <t xml:space="preserve">Spracklin, E., &amp; Espina, C. R.</t>
  </si>
  <si>
    <t xml:space="preserve">SIFTing Through Misinformation: Reflection Notebooks to Teach Critical Digital Literacy</t>
  </si>
  <si>
    <t xml:space="preserve">Nurse Educator</t>
  </si>
  <si>
    <t xml:space="preserve">106-110</t>
  </si>
  <si>
    <t xml:space="preserve">2-s2.0-85107151778</t>
  </si>
  <si>
    <t xml:space="preserve">10.1080/1554480X.2021.1914054</t>
  </si>
  <si>
    <t xml:space="preserve">Stewart, O. G., Hsieh, B., Smith, A., &amp; Pandya, J. Z.</t>
  </si>
  <si>
    <t xml:space="preserve">What More Can We Do? A Scalar Approach to Examining Critical Digital Literacies in Teacher Education</t>
  </si>
  <si>
    <t xml:space="preserve">125-137</t>
  </si>
  <si>
    <t xml:space="preserve">2-s2.0-105009719171</t>
  </si>
  <si>
    <t xml:space="preserve">10.1080/17439884.2025.2527179</t>
  </si>
  <si>
    <t xml:space="preserve">Stewart, O. G., &amp; Rodgers, D. J.</t>
  </si>
  <si>
    <t xml:space="preserve">A critical AI media literacy framework: understanding layered bias and empowerment in artificial intelligence</t>
  </si>
  <si>
    <t xml:space="preserve">2-s2.0-85046489310</t>
  </si>
  <si>
    <t xml:space="preserve">10.1108/ETPC-06-2017-0098</t>
  </si>
  <si>
    <t xml:space="preserve">Sulzer, M. A.</t>
  </si>
  <si>
    <t xml:space="preserve">(Re)conceptualizing digital literacies before and after the election of Trump</t>
  </si>
  <si>
    <t xml:space="preserve">58-71</t>
  </si>
  <si>
    <t xml:space="preserve">2-s2.0-105031221170</t>
  </si>
  <si>
    <t xml:space="preserve">10.1016/j.tate.2026.105437</t>
  </si>
  <si>
    <t xml:space="preserve">Syahruddin, &amp; Agus, M.</t>
  </si>
  <si>
    <t xml:space="preserve">Critical digital literacy for teachers: Evaluating pedagogical models, support systems, and policy implications in a hybrid learning era</t>
  </si>
  <si>
    <t xml:space="preserve">175</t>
  </si>
  <si>
    <t xml:space="preserve">105437</t>
  </si>
  <si>
    <t xml:space="preserve">2-s2.0-85075867226</t>
  </si>
  <si>
    <t xml:space="preserve">Tagg, C., &amp; Seargeant, P.</t>
  </si>
  <si>
    <t xml:space="preserve">100776</t>
  </si>
  <si>
    <t xml:space="preserve">2-s2.0-85042459865</t>
  </si>
  <si>
    <t xml:space="preserve">Talib, S.</t>
  </si>
  <si>
    <t xml:space="preserve">55-66</t>
  </si>
  <si>
    <t xml:space="preserve">2-s2.0-85188993530</t>
  </si>
  <si>
    <t xml:space="preserve">10.1108/ETPC-08-2023-0102</t>
  </si>
  <si>
    <t xml:space="preserve">Tanksley, T. C.</t>
  </si>
  <si>
    <t xml:space="preserve">“We’re changing the system with this one”: Black students using critical race algorithmic literacies to subvert and survive AI-mediated racism in school</t>
  </si>
  <si>
    <t xml:space="preserve">23</t>
  </si>
  <si>
    <t xml:space="preserve">36-56</t>
  </si>
  <si>
    <t xml:space="preserve">2-s2.0-105036546947</t>
  </si>
  <si>
    <t xml:space="preserve">10.1080/00220671.2026.2655159</t>
  </si>
  <si>
    <t xml:space="preserve">Tarikdaroğlu, M., &amp; Okumuş, S.</t>
  </si>
  <si>
    <t xml:space="preserve">Disadvantaged middle school students’ digital literacy levels and their critical thinking dispositions</t>
  </si>
  <si>
    <t xml:space="preserve">Journal of Educational Research</t>
  </si>
  <si>
    <t xml:space="preserve">2-s2.0-105013271101</t>
  </si>
  <si>
    <t xml:space="preserve">10.70730/KMKL8505</t>
  </si>
  <si>
    <t xml:space="preserve">Thongsan, N. C., &amp; Anderson, N. J.</t>
  </si>
  <si>
    <t xml:space="preserve">From Passive Answers to Active Inquiry: How AI Supports Critical Reading in EFL Classrooms</t>
  </si>
  <si>
    <t xml:space="preserve">Learn Journal Language Education and Acquisition Research Network</t>
  </si>
  <si>
    <t xml:space="preserve">795-820</t>
  </si>
  <si>
    <t xml:space="preserve">2-s2.0-85039455787</t>
  </si>
  <si>
    <t xml:space="preserve">10.1002/jaal.711</t>
  </si>
  <si>
    <t xml:space="preserve">van Leent, L., &amp; Mills, K.</t>
  </si>
  <si>
    <t xml:space="preserve">A Queer Critical Media Literacies Framework in a Digital Age</t>
  </si>
  <si>
    <t xml:space="preserve">401-411</t>
  </si>
  <si>
    <t xml:space="preserve">2-s2.0-85196770651</t>
  </si>
  <si>
    <t xml:space="preserve">10.1016/j.compcom.2024.102871</t>
  </si>
  <si>
    <t xml:space="preserve">Van Poucke, M.</t>
  </si>
  <si>
    <t xml:space="preserve">ChatGPT, the perfect virtual teaching assistant? Ideological bias in learner-chatbot interactions</t>
  </si>
  <si>
    <t xml:space="preserve">73</t>
  </si>
  <si>
    <t xml:space="preserve">102871</t>
  </si>
  <si>
    <t xml:space="preserve">2-s2.0-85145564995</t>
  </si>
  <si>
    <t xml:space="preserve">10.20368/1971-8829/1135697</t>
  </si>
  <si>
    <t xml:space="preserve">Villar-Onrubia, D., Morini, L., Marín, V. I., &amp; Nascimbeni, F.</t>
  </si>
  <si>
    <t xml:space="preserve">Critical digital literacy as a key for (post)digital citizenship: an international review of teacher competence frameworks</t>
  </si>
  <si>
    <t xml:space="preserve">Journal of E Learning and Knowledge Society</t>
  </si>
  <si>
    <t xml:space="preserve">128-139</t>
  </si>
  <si>
    <t xml:space="preserve">2-s2.0-105036107366</t>
  </si>
  <si>
    <t xml:space="preserve">10.1080/02615479.2026.2660786</t>
  </si>
  <si>
    <t xml:space="preserve">Wallengren-Lynch, M.</t>
  </si>
  <si>
    <t xml:space="preserve">Towards a framework for digital literacy in social work education in a time of artificial intelligence</t>
  </si>
  <si>
    <t xml:space="preserve">Social Work Education</t>
  </si>
  <si>
    <t xml:space="preserve">2-s2.0-105035011798</t>
  </si>
  <si>
    <t xml:space="preserve">10.1016/j.jeap.2026.101676</t>
  </si>
  <si>
    <t xml:space="preserve">Wang, S., &amp; Xu, F.</t>
  </si>
  <si>
    <t xml:space="preserve">From scroll to screen: Cultivating critical digital literacy through algorithm-aware writing pedagogies in EAP</t>
  </si>
  <si>
    <t xml:space="preserve">81</t>
  </si>
  <si>
    <t xml:space="preserve">101676</t>
  </si>
  <si>
    <t xml:space="preserve">2-s2.0-85068434540</t>
  </si>
  <si>
    <t xml:space="preserve">10.17645/mac.v7i2.1967</t>
  </si>
  <si>
    <t xml:space="preserve">Watt, D.</t>
  </si>
  <si>
    <t xml:space="preserve">Video production in elementary teacher education as a critical digital literacy practice</t>
  </si>
  <si>
    <t xml:space="preserve">Media and Communication</t>
  </si>
  <si>
    <t xml:space="preserve">2 Critical Perspectives</t>
  </si>
  <si>
    <t xml:space="preserve">82-99</t>
  </si>
  <si>
    <t xml:space="preserve">2-s2.0-105020868870</t>
  </si>
  <si>
    <t xml:space="preserve">10.1016/j.system.2025.103896</t>
  </si>
  <si>
    <t xml:space="preserve">Weninger, C., &amp; Xu, H.</t>
  </si>
  <si>
    <t xml:space="preserve">AI, representation, and critical digital literacy: Navigating visual bias in the digital age</t>
  </si>
  <si>
    <t xml:space="preserve">103896</t>
  </si>
  <si>
    <t xml:space="preserve">2-s2.0-105053028976</t>
  </si>
  <si>
    <t xml:space="preserve">10.1177/13621688261487634</t>
  </si>
  <si>
    <t xml:space="preserve">Yang, M., Chen, Q., Chiu, M. M., Lin, A. M. Y., &amp; Ma, S.</t>
  </si>
  <si>
    <t xml:space="preserve">Fostering Critical, Agentic Engagement with Generative AI in Academic Research Writing Through the 4T Lenses: Translanguaging, Trans-semiotizing, Transknowledging and Transculturing</t>
  </si>
  <si>
    <t xml:space="preserve">2-s2.0-105028561569</t>
  </si>
  <si>
    <t xml:space="preserve">10.3390/info17010012</t>
  </si>
  <si>
    <t xml:space="preserve">Zagami, J.</t>
  </si>
  <si>
    <t xml:space="preserve">Addressing the Dark Side of Differentiation: Bias and Micro-Streaming in Artificial Intelligence Facilitated Lesson Planning</t>
  </si>
  <si>
    <t xml:space="preserve">Information Switzerland</t>
  </si>
  <si>
    <t xml:space="preserve">2-s2.0-105028134620</t>
  </si>
  <si>
    <t xml:space="preserve">10.58304/ijts.250626</t>
  </si>
  <si>
    <t xml:space="preserve">Zhang, Y., [+1 co-author]</t>
  </si>
  <si>
    <t xml:space="preserve">Investing in Critical Digital Literacies Involving Generative AI: A Multiple-case Study of Second Language Novice Teachers</t>
  </si>
  <si>
    <t xml:space="preserve">8-32</t>
  </si>
  <si>
    <t xml:space="preserve">2-s2.0-105048021871</t>
  </si>
  <si>
    <t xml:space="preserve">10.1007/s44217-026-02037-0</t>
  </si>
  <si>
    <t xml:space="preserve">Zwane, N. C. M., Skhosana, R. M., &amp; Leburu, G. E.</t>
  </si>
  <si>
    <t xml:space="preserve">Navigating the digital divide in online work integrated learning for multicultural equity in social work education</t>
  </si>
  <si>
    <t xml:space="preserve">Discover Education</t>
  </si>
  <si>
    <t xml:space="preserve">759</t>
  </si>
  <si>
    <t xml:space="preserve">Supplementary file S2. Screening of the 469 records</t>
  </si>
  <si>
    <t xml:space="preserve">K, A, P: indicators of pass 2; T names / T digital: title indicators used only in adjudication.</t>
  </si>
  <si>
    <t xml:space="preserve">No.</t>
  </si>
  <si>
    <t xml:space="preserve">Pass 1</t>
  </si>
  <si>
    <t xml:space="preserve">Pass 2</t>
  </si>
  <si>
    <t xml:space="preserve">K keywords</t>
  </si>
  <si>
    <t xml:space="preserve">A abstract</t>
  </si>
  <si>
    <t xml:space="preserve">P power</t>
  </si>
  <si>
    <t xml:space="preserve">T names CDL</t>
  </si>
  <si>
    <t xml:space="preserve">T digital</t>
  </si>
  <si>
    <t xml:space="preserve">Disagreement</t>
  </si>
  <si>
    <t xml:space="preserve">Rule applied</t>
  </si>
  <si>
    <t xml:space="preserve">2-s2.0-105028218418</t>
  </si>
  <si>
    <t xml:space="preserve">Medieval-Themed Video Games For History Teaching: A Systematic Review</t>
  </si>
  <si>
    <t xml:space="preserve">Electronic Journal of E Learning</t>
  </si>
  <si>
    <t xml:space="preserve">agreement between passes</t>
  </si>
  <si>
    <t xml:space="preserve">disagreement: digital title and two indicators</t>
  </si>
  <si>
    <t xml:space="preserve">2-s2.0-105047775051</t>
  </si>
  <si>
    <t xml:space="preserve">How generative artificial intelligence influences the creative thinking of STEAM learners in higher education: A systematic literature review</t>
  </si>
  <si>
    <t xml:space="preserve">Thinking Skills and Creativity</t>
  </si>
  <si>
    <t xml:space="preserve">2-s2.0-105052727315</t>
  </si>
  <si>
    <t xml:space="preserve">Aligning authentic assessments with real-world digital and business experiences in language learning</t>
  </si>
  <si>
    <t xml:space="preserve">Journal of Responsible Technology</t>
  </si>
  <si>
    <t xml:space="preserve">2-s2.0-105045160860</t>
  </si>
  <si>
    <t xml:space="preserve">Generative AI as a writing scaffold: Use, perceptions, and writing quality among pre-service teachers in the Philippines</t>
  </si>
  <si>
    <t xml:space="preserve">Social Sciences and Humanities Open</t>
  </si>
  <si>
    <t xml:space="preserve">2-s2.0-105042268672</t>
  </si>
  <si>
    <t xml:space="preserve">The relationship between digital literacy and clinical decision-making skills among student nurses: a cross sectional study</t>
  </si>
  <si>
    <t xml:space="preserve">BMC Nursing</t>
  </si>
  <si>
    <t xml:space="preserve">2-s2.0-105039456250</t>
  </si>
  <si>
    <t xml:space="preserve">Digital health literacy and caring behaviours among Turkish hospital nurses: a cross-sectional study</t>
  </si>
  <si>
    <t xml:space="preserve">2-s2.0-105041896292</t>
  </si>
  <si>
    <t xml:space="preserve">Research on the impact of internet use time on high school students’ digital literacy: from the perspective of learning motivation</t>
  </si>
  <si>
    <t xml:space="preserve">Humanities and Social Sciences Communications</t>
  </si>
  <si>
    <t xml:space="preserve">2-s2.0-105022463494</t>
  </si>
  <si>
    <t xml:space="preserve">University Students’ Self-Esteem and GAI Dependency: Multiple Mediating Roles of Academic Anxiety and Perceived Usefulness</t>
  </si>
  <si>
    <t xml:space="preserve">International Journal of Mental Health and Addiction</t>
  </si>
  <si>
    <t xml:space="preserve">2-s2.0-105052253576</t>
  </si>
  <si>
    <t xml:space="preserve">Distinguishing AI-generated and real images: implications for media literacy instruction</t>
  </si>
  <si>
    <t xml:space="preserve">International Journal of Evaluation and Research in Education</t>
  </si>
  <si>
    <t xml:space="preserve">2-s2.0-105052533460</t>
  </si>
  <si>
    <t xml:space="preserve">An Analysis of Accessibility, Training Needs, and Students’ Perceptions of Education 4.0 in Botswana’s Higher Education</t>
  </si>
  <si>
    <t xml:space="preserve">Pan African Journal of Education and Social Sciences</t>
  </si>
  <si>
    <t xml:space="preserve">2-s2.0-105051763904</t>
  </si>
  <si>
    <t xml:space="preserve">Examining the Role of Industry Partnerships, Competencies, and Career Services in Shaping Graduate Employability and Employer Satisfaction</t>
  </si>
  <si>
    <t xml:space="preserve">Human Behavior Development and Society</t>
  </si>
  <si>
    <t xml:space="preserve">2-s2.0-105053311436</t>
  </si>
  <si>
    <t xml:space="preserve">Relationship between Digital Competence and Autonomous Learning of University Students in an Online Learning Environment</t>
  </si>
  <si>
    <t xml:space="preserve">Journal of Learning for Development</t>
  </si>
  <si>
    <t xml:space="preserve">2-s2.0-105048917673</t>
  </si>
  <si>
    <t xml:space="preserve">Dependencies of Digital Literacy Domains for Improved College Readiness in Higher Education: A Systematic Literature Review</t>
  </si>
  <si>
    <t xml:space="preserve">Technology Knowledge and Learning</t>
  </si>
  <si>
    <t xml:space="preserve">2-s2.0-105051677301</t>
  </si>
  <si>
    <t xml:space="preserve">Integrating Ethical GenAI Use in Assessment: A Pilot Study in Postgraduate Health Leadership Education</t>
  </si>
  <si>
    <t xml:space="preserve">Trends in Higher Education</t>
  </si>
  <si>
    <t xml:space="preserve">2-s2.0-105019084892</t>
  </si>
  <si>
    <t xml:space="preserve">Understanding the pathways to online learner engagement and satisfaction in higher education: the function of digital literacy and dialogue</t>
  </si>
  <si>
    <t xml:space="preserve">Journal of Computing in Higher Education</t>
  </si>
  <si>
    <t xml:space="preserve">2-s2.0-105017396890</t>
  </si>
  <si>
    <t xml:space="preserve">Competency-based curriculum design for a Master of Information Science Program</t>
  </si>
  <si>
    <t xml:space="preserve">Journal of Librarianship and Information Science</t>
  </si>
  <si>
    <t xml:space="preserve">2-s2.0-105051780505</t>
  </si>
  <si>
    <t xml:space="preserve">Development and Preliminary Validation of a Tool to Assess Trainee Teachers’ Perceptions and Use of Digital Sources in a Historical-Thinking Framework: A Conflict Context in Chile</t>
  </si>
  <si>
    <t xml:space="preserve">2-s2.0-105045656768</t>
  </si>
  <si>
    <t xml:space="preserve">Data Driven Evaluation of the New Learning Paradigm Using Machine Learning for Optimizing Graduate Outcomes</t>
  </si>
  <si>
    <t xml:space="preserve">Journal of Applied Data Sciences</t>
  </si>
  <si>
    <t xml:space="preserve">2-s2.0-105051653702</t>
  </si>
  <si>
    <t xml:space="preserve">Digital ignorance engineering and declining social awareness among youth: Evidence from the Hail Region</t>
  </si>
  <si>
    <t xml:space="preserve">International Journal of Advanced and Applied Sciences</t>
  </si>
  <si>
    <t xml:space="preserve">2-s2.0-105047366712</t>
  </si>
  <si>
    <t xml:space="preserve">Exploring the Experiences of Pre-Service Mathematics Teachers Using Artificial Intelligence for LET Preparation</t>
  </si>
  <si>
    <t xml:space="preserve">Journal of Intelligent Decision Making and Information Science</t>
  </si>
  <si>
    <t xml:space="preserve">2-s2.0-105048582634</t>
  </si>
  <si>
    <t xml:space="preserve">Preparing Indonesian Vocational Education for Industry 5.0: A Systematic Review of Pedagogical Approaches, Competencies, and Emerging Challenges</t>
  </si>
  <si>
    <t xml:space="preserve">International Journal of Learning Teaching and Educational Research</t>
  </si>
  <si>
    <t xml:space="preserve">2-s2.0-105046189708</t>
  </si>
  <si>
    <t xml:space="preserve">Augmented Reality (AR) and Gamification on Immersive Learning Experiences and Perceived Academic Performance: Using SEM and Network Analysis</t>
  </si>
  <si>
    <t xml:space="preserve">International Journal of Modern Education and Computer Science</t>
  </si>
  <si>
    <t xml:space="preserve">2-s2.0-105048509624</t>
  </si>
  <si>
    <t xml:space="preserve">Digital Disruption and Family Education Priorities: A Middle East and North Africa Regional Analysis</t>
  </si>
  <si>
    <t xml:space="preserve">exclusion for context or document type</t>
  </si>
  <si>
    <t xml:space="preserve">2-s2.0-105046275977</t>
  </si>
  <si>
    <t xml:space="preserve">From reading comprehension to academic communication: contributions of critical literacy to teacher training</t>
  </si>
  <si>
    <t xml:space="preserve">Autoctonia</t>
  </si>
  <si>
    <t xml:space="preserve">2-s2.0-105026704103</t>
  </si>
  <si>
    <t xml:space="preserve">Generative artificial intelligence in venture creation learning: A new pedagogy of partnership</t>
  </si>
  <si>
    <t xml:space="preserve">International Journal of Management Education</t>
  </si>
  <si>
    <t xml:space="preserve">2-s2.0-105045795925</t>
  </si>
  <si>
    <t xml:space="preserve">Assessing Multiliteracies in English Language Teacher Education: The Perceived Levels of Multiliteracies and the Impact of Demographic Factors</t>
  </si>
  <si>
    <t xml:space="preserve">Education Sciences</t>
  </si>
  <si>
    <t xml:space="preserve">2-s2.0-105047706171</t>
  </si>
  <si>
    <t xml:space="preserve">Music Learning Among Digital Native Learners in Thai Higher Education</t>
  </si>
  <si>
    <t xml:space="preserve">Rangsit Music Journal</t>
  </si>
  <si>
    <t xml:space="preserve">2-s2.0-105047571872</t>
  </si>
  <si>
    <t xml:space="preserve">Using digital and AI tools in STEAM education to develop pre-service teachers' mathematical knowledge for teaching in Zimbabwe</t>
  </si>
  <si>
    <t xml:space="preserve">2-s2.0-105042760761</t>
  </si>
  <si>
    <t xml:space="preserve">Students' intercultural meaning-making through a multiliteracies-informed pedagogy in an applied linguistics classroom</t>
  </si>
  <si>
    <t xml:space="preserve">Asian Journal of Applied Linguistics</t>
  </si>
  <si>
    <t xml:space="preserve">disagreement: insufficient evidence</t>
  </si>
  <si>
    <t xml:space="preserve">2-s2.0-105044554235</t>
  </si>
  <si>
    <t xml:space="preserve">University students' purposeful engagement with generative AI: differentiating tools, functions and goals</t>
  </si>
  <si>
    <t xml:space="preserve">Journal of Applied Research in Higher Education</t>
  </si>
  <si>
    <t xml:space="preserve">disagreement: title names CDL</t>
  </si>
  <si>
    <t xml:space="preserve">2-s2.0-105043758108</t>
  </si>
  <si>
    <t xml:space="preserve">The Integration of Net.Art as a Visual and Critical Literacy Tool for Addressing Digital Identity in Primary Art Education</t>
  </si>
  <si>
    <t xml:space="preserve">2-s2.0-105041212448</t>
  </si>
  <si>
    <t xml:space="preserve">ChatGPT in the university classroom: perceptions, perceived usefulness and use intentions among undergraduate students</t>
  </si>
  <si>
    <t xml:space="preserve">2-s2.0-105042631347</t>
  </si>
  <si>
    <t xml:space="preserve">Moving Academic Writing Forward with Artificial Intelligence in English Language Teaching: A Pedagogical Model from a Systematic Literature Review</t>
  </si>
  <si>
    <t xml:space="preserve">2-s2.0-105043573117</t>
  </si>
  <si>
    <t xml:space="preserve">Mapping Pre-service Teachers' Experiences in Integrating Design Thinking and ChatGPT: An Analysis of 21st-Century Learning Tools Development</t>
  </si>
  <si>
    <t xml:space="preserve">Pertanika Journal of Social Sciences and Humanities</t>
  </si>
  <si>
    <t xml:space="preserve">2-s2.0-105023885161</t>
  </si>
  <si>
    <t xml:space="preserve">Pedagogical mediation with ICT for the development of critical thinking in primary education: A systematic review</t>
  </si>
  <si>
    <t xml:space="preserve">2-s2.0-105035490460</t>
  </si>
  <si>
    <t xml:space="preserve">Physician Associate Student Use of Large Language Models to Support Learning: A Phenomenological Study</t>
  </si>
  <si>
    <t xml:space="preserve">Journal of Physician Assistant Education</t>
  </si>
  <si>
    <t xml:space="preserve">2-s2.0-85208134037</t>
  </si>
  <si>
    <t xml:space="preserve">Social Media Linked to Early Adolescent Suicidal Thoughts via Cyberbullying and Internalizing Symptoms</t>
  </si>
  <si>
    <t xml:space="preserve">International Journal of Bullying Prevention</t>
  </si>
  <si>
    <t xml:space="preserve">2-s2.0-105039266998</t>
  </si>
  <si>
    <t xml:space="preserve">Culturally responsive challenge-based STEM education: A pre–post study with rural and Indigenous primary students in Mexico</t>
  </si>
  <si>
    <t xml:space="preserve">2-s2.0-105040218214</t>
  </si>
  <si>
    <t xml:space="preserve">Artificial intelligence as mediator of linguistic reflection in FFL classes (*)</t>
  </si>
  <si>
    <t xml:space="preserve">International Journal of Educational Research and Innovation</t>
  </si>
  <si>
    <t xml:space="preserve">2-s2.0-105038734458</t>
  </si>
  <si>
    <t xml:space="preserve">Youth Experiencing the Algorithmic Flow: The Shared Understanding of Contemporary Social Media Consumption</t>
  </si>
  <si>
    <t xml:space="preserve">Italian Sociological Review</t>
  </si>
  <si>
    <t xml:space="preserve">2-s2.0-105049287957</t>
  </si>
  <si>
    <t xml:space="preserve">Digital Literacy as a Buffer Against Technostress: Evidence from the ICT Attitudes of In-Service Music Teachers</t>
  </si>
  <si>
    <t xml:space="preserve">Online Journal of Music Sciences</t>
  </si>
  <si>
    <t xml:space="preserve">2-s2.0-105044667167</t>
  </si>
  <si>
    <t xml:space="preserve">Exploring the Construction of efl Students' Self-Assumed Social Class Identity in Critical Multimodal Literacy Practices</t>
  </si>
  <si>
    <t xml:space="preserve">Ikala</t>
  </si>
  <si>
    <t xml:space="preserve">2-s2.0-105039151552</t>
  </si>
  <si>
    <t xml:space="preserve">Integrating Artificial Intelligence in Higher Education Language Teaching: Insights from Academic Discourse</t>
  </si>
  <si>
    <t xml:space="preserve">Qubahan Academic Journal</t>
  </si>
  <si>
    <t xml:space="preserve">2-s2.0-105040010961</t>
  </si>
  <si>
    <t xml:space="preserve">Digital Literacy and Critical Thinking in Higher Education: Gaps and Training Opportunities in the Post-Truth Era</t>
  </si>
  <si>
    <t xml:space="preserve">2-s2.0-105040239148</t>
  </si>
  <si>
    <t xml:space="preserve">Teaching the Water Crisis as a Socio-Scientific Issue: A Didactic Proposal to Promote Critical Scientific Literacy</t>
  </si>
  <si>
    <t xml:space="preserve">Revista Kawsaypacha Sociedad Y Medio Ambiente</t>
  </si>
  <si>
    <t xml:space="preserve">2-s2.0-105029471994</t>
  </si>
  <si>
    <t xml:space="preserve">Towards Inclusive Feedback in Multilingual Writing: A Global Englishes Perspective</t>
  </si>
  <si>
    <t xml:space="preserve">2-s2.0-105035472045</t>
  </si>
  <si>
    <t xml:space="preserve">Teachers’ digital technology practices with English as an Additional Language students in Australian schools</t>
  </si>
  <si>
    <t xml:space="preserve">Australian Educational Researcher</t>
  </si>
  <si>
    <t xml:space="preserve">2-s2.0-105029248337</t>
  </si>
  <si>
    <t xml:space="preserve">Rhetorical shifts in the AI age: A Metadiscourse analysis of applied linguistics master’s theses in the Chinese EFL context</t>
  </si>
  <si>
    <t xml:space="preserve">2-s2.0-105016178476</t>
  </si>
  <si>
    <t xml:space="preserve">The critical role of structured training in GenAI adoption: a longitudinal case study on student perceptions and skills development</t>
  </si>
  <si>
    <t xml:space="preserve">International Journal of Technology and Design Education</t>
  </si>
  <si>
    <t xml:space="preserve">2-s2.0-105037213845</t>
  </si>
  <si>
    <t xml:space="preserve">Promoting Critical Thinking and Digital Literacy in Nursing Students Through AI-Powered Podcasting: A Mixed-Methods Study</t>
  </si>
  <si>
    <t xml:space="preserve">Nursing Reports</t>
  </si>
  <si>
    <t xml:space="preserve">2-s2.0-105034449008</t>
  </si>
  <si>
    <t xml:space="preserve">Generative AI in Geography Education: Content Creation and Conversational AI-Supported Learning to Promote Environmental Awareness</t>
  </si>
  <si>
    <t xml:space="preserve">European Journal of Geography</t>
  </si>
  <si>
    <t xml:space="preserve">2-s2.0-105025584732</t>
  </si>
  <si>
    <t xml:space="preserve">Digital Inevitability: Families and the Transformation of Early Childhood Education</t>
  </si>
  <si>
    <t xml:space="preserve">European Journal of Education</t>
  </si>
  <si>
    <t xml:space="preserve">2-s2.0-105038355533</t>
  </si>
  <si>
    <t xml:space="preserve">AI-supported tools for English Academic Writing and Publishing: A Case Study of Vietnamese Biotechnology Undergraduates</t>
  </si>
  <si>
    <t xml:space="preserve">Arab World English Journal</t>
  </si>
  <si>
    <t xml:space="preserve">2-s2.0-105033949595</t>
  </si>
  <si>
    <t xml:space="preserve">Environmental knowledge, attitudes, and practices diagnosis among students of the sagrados corazones educational institution: the role of digital media as a strategy for transformative eco-digital learning</t>
  </si>
  <si>
    <t xml:space="preserve">Environmental Research Communications</t>
  </si>
  <si>
    <t xml:space="preserve">2-s2.0-105029293122</t>
  </si>
  <si>
    <t xml:space="preserve">Integrating Critical Thinking and Digital Literacy into Technology Acceptance for Online Counseling: A PLS-SEM Study among Muslim University Students</t>
  </si>
  <si>
    <t xml:space="preserve">Islamic Guidance and Counseling Journal</t>
  </si>
  <si>
    <t xml:space="preserve">2-s2.0-105029438097</t>
  </si>
  <si>
    <t xml:space="preserve">A Systematic Literature Review on the Impact of Reading Literacy on Students’ Critical Thinking Skills in Vocational Education</t>
  </si>
  <si>
    <t xml:space="preserve">Journal of Teaching and Learning</t>
  </si>
  <si>
    <t xml:space="preserve">2-s2.0-105042592050</t>
  </si>
  <si>
    <t xml:space="preserve">TECHNO-CREATIVITY AND AUTHENTIC LEADERSHIP: CREATIVITY, TECHNOLOGY, AND ARTISTIC PRACTICE INTERTWINED</t>
  </si>
  <si>
    <t xml:space="preserve">Creativity Studies</t>
  </si>
  <si>
    <t xml:space="preserve">2-s2.0-105028731483</t>
  </si>
  <si>
    <t xml:space="preserve">Countering Disinformation in the Hybrid Information Environment: A Cross-Sectoral Analysis of Public Policy, Education, and Media Strategies</t>
  </si>
  <si>
    <t xml:space="preserve">Ianna Journal of Interdisciplinary Studies</t>
  </si>
  <si>
    <t xml:space="preserve">2-s2.0-105048836343</t>
  </si>
  <si>
    <t xml:space="preserve">Constructed Photography (FoCo) and Feminist Pedagogy in Teacher Training: Critical Visual Literacy to Deconstruct Gender Stereotypes in Children’s Narratives</t>
  </si>
  <si>
    <t xml:space="preserve">Ex Aequo</t>
  </si>
  <si>
    <t xml:space="preserve">2-s2.0-105029463592</t>
  </si>
  <si>
    <t xml:space="preserve">Artificial Intelligence as Part of Digital Literacy in Bilingual Educational Contexts</t>
  </si>
  <si>
    <t xml:space="preserve">2-s2.0-105029407972</t>
  </si>
  <si>
    <t xml:space="preserve">The Brat Brain: ChatGPT and the Crisis of Intellectual Effort in Language Education</t>
  </si>
  <si>
    <t xml:space="preserve">2-s2.0-105044675680</t>
  </si>
  <si>
    <t xml:space="preserve">Open Educational Practices as Digital Public Goods: Promoting Resilience, Equity and Innovation in Higher Education Ecosystems</t>
  </si>
  <si>
    <t xml:space="preserve">Journal of Interactive Media in Education</t>
  </si>
  <si>
    <t xml:space="preserve">2-s2.0-105046803295</t>
  </si>
  <si>
    <t xml:space="preserve">Inside and outside the CLIL classroom: teachers’ underestimation of students’ digital and AI-mediated practices</t>
  </si>
  <si>
    <t xml:space="preserve">Language and Education</t>
  </si>
  <si>
    <t xml:space="preserve">2-s2.0-105046399751</t>
  </si>
  <si>
    <t xml:space="preserve">Parental Perspectives on the Prevention of Teen Dating Violence: Implications for Healthy Relationships</t>
  </si>
  <si>
    <t xml:space="preserve">Relieve Revista Electronica De Investigacion Y Evaluacion Educativa</t>
  </si>
  <si>
    <t xml:space="preserve">2-s2.0-105041160305</t>
  </si>
  <si>
    <t xml:space="preserve">Developing an educational model of digital socialization to prevent internet addiction among university students in Kazakhstan</t>
  </si>
  <si>
    <t xml:space="preserve">2-s2.0-105026825227</t>
  </si>
  <si>
    <t xml:space="preserve">Tracing Two Decades of Artificial Intelligence in Education: A Bibliometric Analysis of Trends, Themes, and Future Directions (2000–2025)</t>
  </si>
  <si>
    <t xml:space="preserve">European Journal of Educational Research</t>
  </si>
  <si>
    <t xml:space="preserve">2-s2.0-105048586625</t>
  </si>
  <si>
    <t xml:space="preserve">Students’ AI relational identity: conceptualization and applications</t>
  </si>
  <si>
    <t xml:space="preserve">2-s2.0-105012768707</t>
  </si>
  <si>
    <t xml:space="preserve">Teaching presence, social presence and digital literacy in predicting online learning experience in elementary students</t>
  </si>
  <si>
    <t xml:space="preserve">British Journal of Educational Technology</t>
  </si>
  <si>
    <t xml:space="preserve">2-s2.0-105028227774</t>
  </si>
  <si>
    <t xml:space="preserve">The impact of mobile internet usage patterns on employment intentions of medical students: A cross-sectional study</t>
  </si>
  <si>
    <t xml:space="preserve">Plos One</t>
  </si>
  <si>
    <t xml:space="preserve">2-s2.0-105042174377</t>
  </si>
  <si>
    <t xml:space="preserve">Effects of Digital Tools and Innovative Teaching Methods on Innovative Competence, Digital Literacy, and Critical Thinking among Prospective Primary Teachers</t>
  </si>
  <si>
    <t xml:space="preserve">International Journal of Information and Education Technology</t>
  </si>
  <si>
    <t xml:space="preserve">2-s2.0-105047719840</t>
  </si>
  <si>
    <t xml:space="preserve">Metaliteracy as a Foundation for Equitable Learning in Metaverse-Based Higher Education: A Systematic Review</t>
  </si>
  <si>
    <t xml:space="preserve">Africa Education Review</t>
  </si>
  <si>
    <t xml:space="preserve">2-s2.0-105028211820</t>
  </si>
  <si>
    <t xml:space="preserve">“It looks like my die has a favorite number”—maker education for 21st century skills in primary science education</t>
  </si>
  <si>
    <t xml:space="preserve">2-s2.0-105043798933</t>
  </si>
  <si>
    <t xml:space="preserve">Science Learning Technology: STEM Integrated Internet of Things and Powered Physical Variables of Plant Environment Control (IoT-P2VPEC) for Enhancing Computational Thinking and Digital Literacy</t>
  </si>
  <si>
    <t xml:space="preserve">Journal of College Science Teaching</t>
  </si>
  <si>
    <t xml:space="preserve">2-s2.0-105046020943</t>
  </si>
  <si>
    <t xml:space="preserve">Integrating Digital and Audiovisual Resources into Problem-Based Learning: An Interdisciplinary Experience in Mathematics</t>
  </si>
  <si>
    <t xml:space="preserve">Mathematics Teaching Research Journal</t>
  </si>
  <si>
    <t xml:space="preserve">2-s2.0-105044208741</t>
  </si>
  <si>
    <t xml:space="preserve">GenAI-Assisted Digital Multimodal Composing in TESOL Teacher Education</t>
  </si>
  <si>
    <t xml:space="preserve">2-s2.0-105051801022</t>
  </si>
  <si>
    <t xml:space="preserve">AI, pedagogical judgment, and inequality in teaching and learning in a Global South HE system</t>
  </si>
  <si>
    <t xml:space="preserve">Teaching in Higher Education</t>
  </si>
  <si>
    <t xml:space="preserve">2-s2.0-105046961311</t>
  </si>
  <si>
    <t xml:space="preserve">Essential Skills in 2030 in the Context of Artificial Intelligence, Sustainability, and Education</t>
  </si>
  <si>
    <t xml:space="preserve">Economics</t>
  </si>
  <si>
    <t xml:space="preserve">2-s2.0-105032233043</t>
  </si>
  <si>
    <t xml:space="preserve">What would you do? Vignettes as a lens on digital Geography teacher competences</t>
  </si>
  <si>
    <t xml:space="preserve">Journal of Geography in Higher Education</t>
  </si>
  <si>
    <t xml:space="preserve">2-s2.0-105040525036</t>
  </si>
  <si>
    <t xml:space="preserve">Profiling perceived challenges in Mathematics in the Modern World to inform Math-RetoKiSS: a data-informed blended learning support system for 21st-century mathematics learning in a Philippine university</t>
  </si>
  <si>
    <t xml:space="preserve">2-s2.0-105033669950</t>
  </si>
  <si>
    <t xml:space="preserve">Resource gain spirals in the digital era: How digital literacy drives teachers’ digital teaching innovation behavior via self-efficacy and knowledge sharing</t>
  </si>
  <si>
    <t xml:space="preserve">Journal of Research on Technology in Education</t>
  </si>
  <si>
    <t xml:space="preserve">2-s2.0-105046082801</t>
  </si>
  <si>
    <t xml:space="preserve">Teaching economic and political geography through GeoAI: lessons from the STEM4Humanities project and design-based pedagogies</t>
  </si>
  <si>
    <t xml:space="preserve">2-s2.0-105046450374</t>
  </si>
  <si>
    <t xml:space="preserve">Development of students' systems thinking when studying the basics of artificial intelligence in engineering practice at the agricultural university</t>
  </si>
  <si>
    <t xml:space="preserve">Perspektivy Nauki I Obrazovania</t>
  </si>
  <si>
    <t xml:space="preserve">2-s2.0-105034420571</t>
  </si>
  <si>
    <t xml:space="preserve">STEM-Oriented Foreign Language Teaching: An Experimental Study of Engineering Students in Turkmenistan</t>
  </si>
  <si>
    <t xml:space="preserve">Journal of Education and Training Studies</t>
  </si>
  <si>
    <t xml:space="preserve">2-s2.0-105049329677</t>
  </si>
  <si>
    <t xml:space="preserve">Smartphone usage for accessing electronic resources among distance learners at the Open University of Tanzania: a UTAUT perspective</t>
  </si>
  <si>
    <t xml:space="preserve">Open Learning</t>
  </si>
  <si>
    <t xml:space="preserve">2-s2.0-105044816529</t>
  </si>
  <si>
    <t xml:space="preserve">Systemic Barriers to Curriculum Adaptation for Rapidly Changing Knowledge in Medical Education: Qualitative Study</t>
  </si>
  <si>
    <t xml:space="preserve">Jmir Medical Education</t>
  </si>
  <si>
    <t xml:space="preserve">2-s2.0-105043476018</t>
  </si>
  <si>
    <t xml:space="preserve">From cognitive and affective factors to academic writing: How does AI usage frequency shape student performance?</t>
  </si>
  <si>
    <t xml:space="preserve">2-s2.0-105041567676</t>
  </si>
  <si>
    <t xml:space="preserve">Mechanisms Influencing Digital Literacy among Higher Vocational College Students in the Context of Educational Digitalization: A Perceived Support Perspective</t>
  </si>
  <si>
    <t xml:space="preserve">2-s2.0-105027908711</t>
  </si>
  <si>
    <t xml:space="preserve">The impact of generative AI on academic reading and writing: a synthesis of recent evidence (2023–2025)</t>
  </si>
  <si>
    <t xml:space="preserve">2-s2.0-105031872924</t>
  </si>
  <si>
    <t xml:space="preserve">A Mixed Method Investigation of Student Agency and Civic Media Literacy Through Journalistic Learning</t>
  </si>
  <si>
    <t xml:space="preserve">Cognition and Instruction</t>
  </si>
  <si>
    <t xml:space="preserve">2-s2.0-105044977667</t>
  </si>
  <si>
    <t xml:space="preserve">Integrating digital literacies in pre-service teachers’ CLIL training: insights from a cross-country multiple case study</t>
  </si>
  <si>
    <t xml:space="preserve">2-s2.0-105012252448</t>
  </si>
  <si>
    <t xml:space="preserve">How teachers’ digital literacy influences the intention to use AI teaching tools: an empirical study based on an integrated model</t>
  </si>
  <si>
    <t xml:space="preserve">Interactive Learning Environments</t>
  </si>
  <si>
    <t xml:space="preserve">2-s2.0-105048819079</t>
  </si>
  <si>
    <t xml:space="preserve">Digital Literacy, ChatGPT Adoption and AI Integration Among Lis Research Scholars in Selected Central Universities in North India</t>
  </si>
  <si>
    <t xml:space="preserve">International Information and Library Review</t>
  </si>
  <si>
    <t xml:space="preserve">2-s2.0-105034957453</t>
  </si>
  <si>
    <t xml:space="preserve">Artificial Intelligence in Health Professions Education: Qualitative Study of Student Experiences</t>
  </si>
  <si>
    <t xml:space="preserve">Journal of Medical Internet Research</t>
  </si>
  <si>
    <t xml:space="preserve">2-s2.0-105027674743</t>
  </si>
  <si>
    <t xml:space="preserve">DIGITAL RELIGIOUS LITERATURE AND ITS ROLE IN SHAPING RELIGIOUS MODERATION AMONG INDONESIAN UNIVERSITY STUDENTS</t>
  </si>
  <si>
    <t xml:space="preserve">Jurnal Lektur Keagamaan</t>
  </si>
  <si>
    <t xml:space="preserve">2-s2.0-105033198155</t>
  </si>
  <si>
    <t xml:space="preserve">THE PRAGMATIC FUNCTIONS OF TIKTOK SLANG IN ADOLESCENT IDENTITY CONSTRUCTION AND PEER RELATIONSHIPS</t>
  </si>
  <si>
    <t xml:space="preserve">Palimpsest</t>
  </si>
  <si>
    <t xml:space="preserve">2-s2.0-105027315013</t>
  </si>
  <si>
    <t xml:space="preserve">EVALUATING AI-GENERATED IMAGES IN FINE ART EDUCATION</t>
  </si>
  <si>
    <t xml:space="preserve">Shodhkosh Journal of Visual and Performing Arts</t>
  </si>
  <si>
    <t xml:space="preserve">2-s2.0-105025963157</t>
  </si>
  <si>
    <t xml:space="preserve">Reimagining pedagogy for the GenAI era: Frameworks, challenges and institutional strategies</t>
  </si>
  <si>
    <t xml:space="preserve">Australasian Journal of Educational Technology</t>
  </si>
  <si>
    <t xml:space="preserve">2-s2.0-105029592588</t>
  </si>
  <si>
    <t xml:space="preserve">Revolution or ruin? Systematic insights into the redefinition of the teacher book</t>
  </si>
  <si>
    <t xml:space="preserve">English Language Teaching Educational Journal</t>
  </si>
  <si>
    <t xml:space="preserve">2-s2.0-105024563153</t>
  </si>
  <si>
    <t xml:space="preserve">Critical thinking and digital literacy: A vital relationship in the initial training of future teachers</t>
  </si>
  <si>
    <t xml:space="preserve">Revista De Ciencias Sociales</t>
  </si>
  <si>
    <t xml:space="preserve">2-s2.0-105022876773</t>
  </si>
  <si>
    <t xml:space="preserve">Corpora and AI for inductive learning: Theory and practice</t>
  </si>
  <si>
    <t xml:space="preserve">Applied Corpus Linguistics</t>
  </si>
  <si>
    <t xml:space="preserve">2-s2.0-105024537326</t>
  </si>
  <si>
    <t xml:space="preserve">Between Assistance and Dependence: Artificial Intelligence and Critical Thinking. A Study on First-Year University Students</t>
  </si>
  <si>
    <t xml:space="preserve">2-s2.0-105025886048</t>
  </si>
  <si>
    <t xml:space="preserve">Determinants of Tolerance Among Higher Education Students in Montenegro: Quantitative Insights for Advancing Educational and Societal Sustainability</t>
  </si>
  <si>
    <t xml:space="preserve">2-s2.0-105025787635</t>
  </si>
  <si>
    <t xml:space="preserve">Digital Literacy in Higher Education: Examining University Students’ Competence in Online Information Practices</t>
  </si>
  <si>
    <t xml:space="preserve">Computers</t>
  </si>
  <si>
    <t xml:space="preserve">2-s2.0-105007093336</t>
  </si>
  <si>
    <t xml:space="preserve">Evaluating the digital transformation in health sciences education: a thematic analysis of higher education teachers’ perspectives</t>
  </si>
  <si>
    <t xml:space="preserve">BMC Medical Education</t>
  </si>
  <si>
    <t xml:space="preserve">2-s2.0-85218674699</t>
  </si>
  <si>
    <t xml:space="preserve">Fighting Fake News: Building Cognitive Resistance and Mental Antibodies Through a Digital Media Literacy Inoculation Intervention</t>
  </si>
  <si>
    <t xml:space="preserve">Journal of Marketing Education</t>
  </si>
  <si>
    <t xml:space="preserve">2-s2.0-105023191012</t>
  </si>
  <si>
    <t xml:space="preserve">Digital literacy and cybersecurity in higher education: the unseen power of academic librarians</t>
  </si>
  <si>
    <t xml:space="preserve">2-s2.0-105017645249</t>
  </si>
  <si>
    <t xml:space="preserve">Preparing future-ready public health professionals: a blended, AI-integrated pedagogical innovation</t>
  </si>
  <si>
    <t xml:space="preserve">2-s2.0-105008803755</t>
  </si>
  <si>
    <t xml:space="preserve">Growing in organisations: The multifaceted effects of organisational support on teachers' digital literacy</t>
  </si>
  <si>
    <t xml:space="preserve">British Educational Research Journal</t>
  </si>
  <si>
    <t xml:space="preserve">2-s2.0-105026405898</t>
  </si>
  <si>
    <t xml:space="preserve">Assessing awareness of digital literacy among medical students in Azad Jammu and Kashmir</t>
  </si>
  <si>
    <t xml:space="preserve">2-s2.0-105010168070</t>
  </si>
  <si>
    <t xml:space="preserve">Exploring sustainability accounting education in the digital era with sustainability leadership as a moderating factor using a two-stage approach PLS-SEM–ANN</t>
  </si>
  <si>
    <t xml:space="preserve">Discover Sustainability</t>
  </si>
  <si>
    <t xml:space="preserve">2-s2.0-105014742511</t>
  </si>
  <si>
    <t xml:space="preserve">Physiotherapy students’ trust in social-media physiotherapy influencers: implications for digital-literacy training in medical education</t>
  </si>
  <si>
    <t xml:space="preserve">2-s2.0-105024555643</t>
  </si>
  <si>
    <t xml:space="preserve">Keeping Pace with 21st Century Skills: The Role of Computer-Aided Design in Teaching Engineering Graphics and Design</t>
  </si>
  <si>
    <t xml:space="preserve">2-s2.0-105025883237</t>
  </si>
  <si>
    <t xml:space="preserve">Entrepreneurial Competencies in the Era of Digital Transformation: A Systematic Literature Review</t>
  </si>
  <si>
    <t xml:space="preserve">Digital</t>
  </si>
  <si>
    <t xml:space="preserve">2-s2.0-105044055568</t>
  </si>
  <si>
    <t xml:space="preserve">Ethical and Reflective Use of Generative Artificial Intelligence in Teacher Education: Analysis of a University Protocol in Language Practices</t>
  </si>
  <si>
    <t xml:space="preserve">Texto Livre</t>
  </si>
  <si>
    <t xml:space="preserve">2-s2.0-105012632435</t>
  </si>
  <si>
    <t xml:space="preserve">Critical digital literacies, agentic practices, and AI-mediated informal digital learning of English</t>
  </si>
  <si>
    <t xml:space="preserve">2-s2.0-105049666682</t>
  </si>
  <si>
    <t xml:space="preserve">Teaching Organizational Culture as a Key Factor for the Adoption of Artificial Intelligence in University Education.</t>
  </si>
  <si>
    <t xml:space="preserve">Dianwang Jishu Power System Technology</t>
  </si>
  <si>
    <t xml:space="preserve">2-s2.0-105018668282</t>
  </si>
  <si>
    <t xml:space="preserve">Unraveling the multidimensional association of covert bullying, abandonment, and adolescent depression: A critical review and conceptual framework</t>
  </si>
  <si>
    <t xml:space="preserve">Acta Psychologica</t>
  </si>
  <si>
    <t xml:space="preserve">2-s2.0-105037124433</t>
  </si>
  <si>
    <t xml:space="preserve">Media education in Europe: The experience of France, Poland, and Sweden in the context of journalism and social informatics</t>
  </si>
  <si>
    <t xml:space="preserve">Society Document Communication</t>
  </si>
  <si>
    <t xml:space="preserve">2-s2.0-105018521124</t>
  </si>
  <si>
    <t xml:space="preserve">ADVANTAGES AND OPPORTUNITIES OF INTEGRATING EDUCATIONAL PROGRAMMES FOR TEACHING RATIONAL NUMBERS IN 6TH-GRADE MATHEMATICS</t>
  </si>
  <si>
    <t xml:space="preserve">Journal of Information Technology Education Innovations in Practice</t>
  </si>
  <si>
    <t xml:space="preserve">2-s2.0-85192377164</t>
  </si>
  <si>
    <t xml:space="preserve">Digital multimodal composing in L2 classrooms: A research agenda</t>
  </si>
  <si>
    <t xml:space="preserve">Language Teaching</t>
  </si>
  <si>
    <t xml:space="preserve">2-s2.0-105026799526</t>
  </si>
  <si>
    <t xml:space="preserve">University students’ acceptance of video-conferencing for learning of mathematics in the post-COVID-19 era</t>
  </si>
  <si>
    <t xml:space="preserve">2-s2.0-105021492849</t>
  </si>
  <si>
    <t xml:space="preserve">EFL teachers’ digital literacy and its relation to self-efficacy and well-being in artificial intelligence-based context</t>
  </si>
  <si>
    <t xml:space="preserve">2-s2.0-105017396591</t>
  </si>
  <si>
    <t xml:space="preserve">Deep Learning in Spanish University Students: The Role of Digital Literacy and Critical Thinking</t>
  </si>
  <si>
    <t xml:space="preserve">2-s2.0-105016754306</t>
  </si>
  <si>
    <t xml:space="preserve">Exploring the Promotion of Skills Development in an Odel Space Vis-À-Vis 4IR Technologies in Sub-Saharan Africa</t>
  </si>
  <si>
    <t xml:space="preserve">2-s2.0-105016712383</t>
  </si>
  <si>
    <t xml:space="preserve">Examining Extended Reality Instructional Tools for Virtual Field Trips in Nigerian High Schools</t>
  </si>
  <si>
    <t xml:space="preserve">2-s2.0-105013150699</t>
  </si>
  <si>
    <t xml:space="preserve">How digital literacy and ICT self-efficacy shape student perceived post-editing competence</t>
  </si>
  <si>
    <t xml:space="preserve">2-s2.0-105012944870</t>
  </si>
  <si>
    <t xml:space="preserve">The role of scaffolding in flipped classroom: improving learning outcomes through Weblog-based and Google Drive-based assignments</t>
  </si>
  <si>
    <t xml:space="preserve">Cogent Education</t>
  </si>
  <si>
    <t xml:space="preserve">2-s2.0-105019662109</t>
  </si>
  <si>
    <t xml:space="preserve">Effects of Flipped Learning Utilizing Digital Literacy on Critical Thinking and Self-directed Learning in Nursing Students in Korea: A Quasi-experimental Study</t>
  </si>
  <si>
    <t xml:space="preserve">Journal of the Korean Academy of Fundamentals of Nursing</t>
  </si>
  <si>
    <t xml:space="preserve">2-s2.0-105011844070</t>
  </si>
  <si>
    <t xml:space="preserve">Formation of key skills of the XXI century in the educational practice of a teacher</t>
  </si>
  <si>
    <t xml:space="preserve">2-s2.0-85150307870</t>
  </si>
  <si>
    <t xml:space="preserve">The effect of digital literacy on technology acceptance: An evaluation on administrative staff in higher education</t>
  </si>
  <si>
    <t xml:space="preserve">Journal of Information Science</t>
  </si>
  <si>
    <t xml:space="preserve">2-s2.0-105015711944</t>
  </si>
  <si>
    <t xml:space="preserve">Exploratory analysis of online learning readiness of graduate students using a modified unified theory of acceptance and use of technology model</t>
  </si>
  <si>
    <t xml:space="preserve">Journal of Education and E Learning Research</t>
  </si>
  <si>
    <t xml:space="preserve">2-s2.0-105010937073</t>
  </si>
  <si>
    <t xml:space="preserve">Innovating Human Capital Development: The Role of Education, Law, and Economics Through Digital Transformation</t>
  </si>
  <si>
    <t xml:space="preserve">2-s2.0-105000861353</t>
  </si>
  <si>
    <t xml:space="preserve">Challenging Digital Hate: Sociocultural Competence and Critical Literacy on WhatsApp</t>
  </si>
  <si>
    <t xml:space="preserve">Revista Colombiana De Educacion</t>
  </si>
  <si>
    <t xml:space="preserve">2-s2.0-105013517277</t>
  </si>
  <si>
    <t xml:space="preserve">Flexible Education-A Paradigm Shift in Engineering Pedagogy</t>
  </si>
  <si>
    <t xml:space="preserve">Journal of Engineering Education Transformations</t>
  </si>
  <si>
    <t xml:space="preserve">2-s2.0-105029946388</t>
  </si>
  <si>
    <t xml:space="preserve">Design and Validation of an Instrument to Evaluate Teaching Practices and Conceptions Regarding the use of Cultural Video Games in the Classroom</t>
  </si>
  <si>
    <t xml:space="preserve">Foro De Educacion</t>
  </si>
  <si>
    <t xml:space="preserve">2-s2.0-105011744904</t>
  </si>
  <si>
    <t xml:space="preserve">Analyzing Higher Education Students’ Prompting Techniques and Their Impact on ChatGPT’s Performance: An Exploratory Study in Spanish</t>
  </si>
  <si>
    <t xml:space="preserve">Applied Sciences Switzerland</t>
  </si>
  <si>
    <t xml:space="preserve">2-s2.0-105018398650</t>
  </si>
  <si>
    <t xml:space="preserve">EVALUATING THE TRUSTWORTHINESS OF CHATGPT-GENERATED HEALTH INFORMATION AMONG FUTURE HEALTH CARE PROFESSIONALS</t>
  </si>
  <si>
    <t xml:space="preserve">Georgian Medical News</t>
  </si>
  <si>
    <t xml:space="preserve">2-s2.0-105011961305</t>
  </si>
  <si>
    <t xml:space="preserve">Periferia asediada. Reflection on an educommunicative teaching practice</t>
  </si>
  <si>
    <t xml:space="preserve">Austral Comunicacion</t>
  </si>
  <si>
    <t xml:space="preserve">2-s2.0-105002341458</t>
  </si>
  <si>
    <t xml:space="preserve">SCREENING MOBILE APPLICATION BASED ON SOCIAL ECOLOGICAL MODEL WITH PANCASILA IN LEARNING AS AN EFFORT TO PREVENT RADICALISM IN THE DIGITAL AGE</t>
  </si>
  <si>
    <t xml:space="preserve">Journal of Engineering Science and Technology</t>
  </si>
  <si>
    <t xml:space="preserve">2-s2.0-105008397489</t>
  </si>
  <si>
    <t xml:space="preserve">Digital competencies in student learning with generative artificial intelligence: Policy implications from world-class universities</t>
  </si>
  <si>
    <t xml:space="preserve">Journal of University Teaching and Learning Practice</t>
  </si>
  <si>
    <t xml:space="preserve">2-s2.0-105006467960</t>
  </si>
  <si>
    <t xml:space="preserve">Teacher Education, Diversity, and the Prevention of Hate Speech: Ethical and Political Foundations for Inclusive Citizenship</t>
  </si>
  <si>
    <t xml:space="preserve">Societies</t>
  </si>
  <si>
    <t xml:space="preserve">2-s2.0-105006600550</t>
  </si>
  <si>
    <t xml:space="preserve">Designing a new teacher and educator training on Sexuality Education: the SETTE training course</t>
  </si>
  <si>
    <t xml:space="preserve">2-s2.0-85219066591</t>
  </si>
  <si>
    <t xml:space="preserve">ENHANCING DIGITAL LITERACY AND TEACHER-PRENEURSHIP THROUGH A CRITICAL PEDAGOGY-BASED TRAINING PLATFORM</t>
  </si>
  <si>
    <t xml:space="preserve">2-s2.0-105014614473</t>
  </si>
  <si>
    <t xml:space="preserve">Challenges of Misinformation in Online Learning: A Post-Pandemic Perspective</t>
  </si>
  <si>
    <t xml:space="preserve">Encyclopedia</t>
  </si>
  <si>
    <t xml:space="preserve">2-s2.0-85218903370</t>
  </si>
  <si>
    <t xml:space="preserve">Generative AI Tools in Salvadoran Higher Education: Balancing Equity, Ethics, and Knowledge Management in the Global South</t>
  </si>
  <si>
    <t xml:space="preserve">2-s2.0-85197783261</t>
  </si>
  <si>
    <t xml:space="preserve">The mediating role of mobile learning motivation in the relationship between pre-service teachers’ digital literacy and pre-service teacher identity</t>
  </si>
  <si>
    <t xml:space="preserve">Education and Information Technologies</t>
  </si>
  <si>
    <t xml:space="preserve">2-s2.0-105014367785</t>
  </si>
  <si>
    <t xml:space="preserve">Connected education: social networks in the musical education of adolescent students. Systematic review</t>
  </si>
  <si>
    <t xml:space="preserve">Musica Hodie</t>
  </si>
  <si>
    <t xml:space="preserve">2-s2.0-85216002360</t>
  </si>
  <si>
    <t xml:space="preserve">How would future mathematicians embrace digital literacy? A TAM model-based analysis</t>
  </si>
  <si>
    <t xml:space="preserve">2-s2.0-105001287952</t>
  </si>
  <si>
    <t xml:space="preserve">Exploring maternal perceptions of critical digital engagement practices in Iranian children</t>
  </si>
  <si>
    <t xml:space="preserve">2-s2.0-105014764056</t>
  </si>
  <si>
    <t xml:space="preserve">Graffiti: Two pedagogical experiences on critical literacy in Chile and Colombia</t>
  </si>
  <si>
    <t xml:space="preserve">Magis</t>
  </si>
  <si>
    <t xml:space="preserve">2-s2.0-105016825313</t>
  </si>
  <si>
    <t xml:space="preserve">Is children's education neutral? Critical literacy in initial teacher training</t>
  </si>
  <si>
    <t xml:space="preserve">Tejuelo Didactica De La Lengua Y La Literatura Educacion</t>
  </si>
  <si>
    <t xml:space="preserve">2-s2.0-105000462796</t>
  </si>
  <si>
    <t xml:space="preserve">Models of Masculinity in Children’s Books and Electronic Prehistoric Resources</t>
  </si>
  <si>
    <t xml:space="preserve">Hse Social and Education History</t>
  </si>
  <si>
    <t xml:space="preserve">2-s2.0-105016885110</t>
  </si>
  <si>
    <t xml:space="preserve">GenAI as a cognitive mediator: a critical-constructivist inquiry into computational thinking in pre-university education</t>
  </si>
  <si>
    <t xml:space="preserve">2-s2.0-105016883059</t>
  </si>
  <si>
    <t xml:space="preserve">Rogue readings of a flashpoint moment: The double-edged sword of Adolescence</t>
  </si>
  <si>
    <t xml:space="preserve">European Journal of Cultural Studies</t>
  </si>
  <si>
    <t xml:space="preserve">2-s2.0-105024214267</t>
  </si>
  <si>
    <t xml:space="preserve">Artificial intelligence in academic literacy: empirical evidence on reading and writing practices in higher education</t>
  </si>
  <si>
    <t xml:space="preserve">2-s2.0-105044629124</t>
  </si>
  <si>
    <t xml:space="preserve">EVOLVING L2 TRANSLATION COMPETENCE IN LIGHT OF TECHNOLOGICAL TURN</t>
  </si>
  <si>
    <t xml:space="preserve">Acta Universitatis Carolinae Philologica</t>
  </si>
  <si>
    <t xml:space="preserve">2-s2.0-105028022489</t>
  </si>
  <si>
    <t xml:space="preserve">Self-directed professional development of Thai pre-service English teachers in rural Thailand: Adapting to limited resources and technology integration</t>
  </si>
  <si>
    <t xml:space="preserve">Australian Journal of Applied Linguistics</t>
  </si>
  <si>
    <t xml:space="preserve">2-s2.0-105009383411</t>
  </si>
  <si>
    <t xml:space="preserve">Empowering EFL Learners Through Generative AI: A Qualitative Exploration of Inclusive and Autonomous Learning in Multicultural Contexts</t>
  </si>
  <si>
    <t xml:space="preserve">International Journal of Language Education</t>
  </si>
  <si>
    <t xml:space="preserve">2-s2.0-105015350972</t>
  </si>
  <si>
    <t xml:space="preserve">The Extent of Soft Skills Integration in the Revised Arabic Language Textbooks for Fourth Grade Students in Jordan</t>
  </si>
  <si>
    <t xml:space="preserve">Educational Process International Journal</t>
  </si>
  <si>
    <t xml:space="preserve">2-s2.0-105013171647</t>
  </si>
  <si>
    <t xml:space="preserve">Measuring what matters: a systematic review and VOSviewer-based bibliometric approach to digital literacy assessment instruments, competency dimensions and challenges in education</t>
  </si>
  <si>
    <t xml:space="preserve">Research in Learning Technology</t>
  </si>
  <si>
    <t xml:space="preserve">2-s2.0-105021510561</t>
  </si>
  <si>
    <t xml:space="preserve">Exploring the impact of Artificial Intelligence on students' skills for sustainable development in education</t>
  </si>
  <si>
    <t xml:space="preserve">2-s2.0-105017029128</t>
  </si>
  <si>
    <t xml:space="preserve">Experimental Evaluation Of Cloud-Integrated Iot Training Modules For Advancing 21st-Century Skills In Higher Education</t>
  </si>
  <si>
    <t xml:space="preserve">Seminars in Medical Writing and Education</t>
  </si>
  <si>
    <t xml:space="preserve">2-s2.0-105029793724</t>
  </si>
  <si>
    <t xml:space="preserve">DIGITALIZATION OF HIGHER EDUCATION AS A TOOL FOR IMPROVING HUMANITARIAN SECURITY</t>
  </si>
  <si>
    <t xml:space="preserve">Journal of Theoretical and Applied Information Technology</t>
  </si>
  <si>
    <t xml:space="preserve">2-s2.0-105022485001</t>
  </si>
  <si>
    <t xml:space="preserve">The predictive effect of digital literacy on learning resilience of college students in a massive online environment</t>
  </si>
  <si>
    <t xml:space="preserve">Innovations in Education and Teaching International</t>
  </si>
  <si>
    <t xml:space="preserve">2-s2.0-105005151745</t>
  </si>
  <si>
    <t xml:space="preserve">Promoting Learners’ Autonomy through Metacognitive, Higher-Order Thinking Skills and Digital Literacy of Indonesian Private Universities</t>
  </si>
  <si>
    <t xml:space="preserve">2-s2.0-85215659168</t>
  </si>
  <si>
    <t xml:space="preserve">The Driving Force for Sustaining Future Competencies for University Students in the Digital Era: Learning Strategies</t>
  </si>
  <si>
    <t xml:space="preserve">Journal of Curriculum and Teaching</t>
  </si>
  <si>
    <t xml:space="preserve">2-s2.0-85219117713</t>
  </si>
  <si>
    <t xml:space="preserve">Utilizing Systematic Digital Platforms and Instructional Design in Health Communication: A Data-Driven Approach in China's Curriculum</t>
  </si>
  <si>
    <t xml:space="preserve">2-s2.0-105016471263</t>
  </si>
  <si>
    <t xml:space="preserve">Silence Is Golden: Lurking Behaviour Within an Online Community and the Success of Micro Business in the Context of Developing Country</t>
  </si>
  <si>
    <t xml:space="preserve">Australasian Marketing Journal</t>
  </si>
  <si>
    <t xml:space="preserve">2-s2.0-105028790871</t>
  </si>
  <si>
    <t xml:space="preserve">BRIDGING THE GAP BETWEEN KNOWLEDGE MANAGEMENT AND DIGITAL TRANSFORMATION: THE CRITICAL ROLE OF DIGITAL LITERACY, ORGANIZATIONAL CULTURE</t>
  </si>
  <si>
    <t xml:space="preserve">Archives for Technical Sciences</t>
  </si>
  <si>
    <t xml:space="preserve">2-s2.0-105002370135</t>
  </si>
  <si>
    <t xml:space="preserve">Development of Pedagogical Content Learning Module in Enhancing Pedagogical Competence of Economics Teachers</t>
  </si>
  <si>
    <t xml:space="preserve">2-s2.0-105012241445</t>
  </si>
  <si>
    <t xml:space="preserve">CONNECTING WITH THE PAST, SHAPING THE FUTURE: THE POWER OF ORAL HISTORY</t>
  </si>
  <si>
    <t xml:space="preserve">Ezikov Svyat</t>
  </si>
  <si>
    <t xml:space="preserve">2-s2.0-105005861539</t>
  </si>
  <si>
    <t xml:space="preserve">Innovative methods of teaching the short story genre in the context of digitalization of education: A cross-sectional study of students in Kazakhstan</t>
  </si>
  <si>
    <t xml:space="preserve">Periodicals of Engineering and Natural Sciences</t>
  </si>
  <si>
    <t xml:space="preserve">2-s2.0-85219408789</t>
  </si>
  <si>
    <t xml:space="preserve">The Impact of Using Poe ChatGPT-Based TPACK Model on English as a Foreign Language Teachers’ Performance and Their Students’ Vocabulary Learning</t>
  </si>
  <si>
    <t xml:space="preserve">Higher Learning Research Communications</t>
  </si>
  <si>
    <t xml:space="preserve">2-s2.0-105001739546</t>
  </si>
  <si>
    <t xml:space="preserve">Integrating academic literacy into contemporary learning: What we learned from an Indonesian EFL classroom</t>
  </si>
  <si>
    <t xml:space="preserve">Issues in Educational Research</t>
  </si>
  <si>
    <t xml:space="preserve">2-s2.0-85190459441</t>
  </si>
  <si>
    <t xml:space="preserve">Digital competence in social work education: readiness for practice</t>
  </si>
  <si>
    <t xml:space="preserve">2-s2.0-105043649765</t>
  </si>
  <si>
    <t xml:space="preserve">The Effects of Blended Learning Management in Earth Science on Learning Achievement and Digital Skills of Grade 4 Students at Ekamai International School</t>
  </si>
  <si>
    <t xml:space="preserve">2-s2.0-85216116879</t>
  </si>
  <si>
    <t xml:space="preserve">A Review of “Next level grammar for a digital age: Teaching with social media and online tools for rhetorical understanding and critical creation”</t>
  </si>
  <si>
    <t xml:space="preserve">Canadian Journal of Learning and Technology</t>
  </si>
  <si>
    <t xml:space="preserve">Excluded: book review</t>
  </si>
  <si>
    <t xml:space="preserve">2-s2.0-85201544972</t>
  </si>
  <si>
    <t xml:space="preserve">Augmented reality-based higher order thinking skills learning media: Enhancing learning performance through self-regulated learning, digital literacy, and critical thinking skills in vocational teacher education</t>
  </si>
  <si>
    <t xml:space="preserve">2-s2.0-105011139631</t>
  </si>
  <si>
    <t xml:space="preserve">Connectivism Theory in Education and Its Applications to Curriculum and Instruction</t>
  </si>
  <si>
    <t xml:space="preserve">Asean Journal of Educational Research and Technology</t>
  </si>
  <si>
    <t xml:space="preserve">2-s2.0-85181253849</t>
  </si>
  <si>
    <t xml:space="preserve">Effect of digital literacy on social entrepreneurial intentions and nascent behaviours among students and practitioners in mass communication</t>
  </si>
  <si>
    <t xml:space="preserve">2-s2.0-85209393997</t>
  </si>
  <si>
    <t xml:space="preserve">Digital literacy as a catalyst for academic confidence: exploring the interplay between academic self-efficacy and academic procrastination among medical students</t>
  </si>
  <si>
    <t xml:space="preserve">2-s2.0-85212097492</t>
  </si>
  <si>
    <t xml:space="preserve">Students’ Perceptions in the Integration of E-learning at a Free State TVET College in South Africa</t>
  </si>
  <si>
    <t xml:space="preserve">2-s2.0-85201369354</t>
  </si>
  <si>
    <t xml:space="preserve">New way to shaping India's academic environment: An assessment of the mechanism of integration of education 4.0 to industry-centric learning</t>
  </si>
  <si>
    <t xml:space="preserve">Computer Applications in Engineering Education</t>
  </si>
  <si>
    <t xml:space="preserve">2-s2.0-85207948684</t>
  </si>
  <si>
    <t xml:space="preserve">Who uses it and for what purpose? The role of digital literacy in ChatGPT adoption and utilisation</t>
  </si>
  <si>
    <t xml:space="preserve">Journal of Innovation and Knowledge</t>
  </si>
  <si>
    <t xml:space="preserve">2-s2.0-85199770919</t>
  </si>
  <si>
    <t xml:space="preserve">Beyond Making Stuff: Co-Designing Literacies and Collaborating for Critical Empathy</t>
  </si>
  <si>
    <t xml:space="preserve">Reading Teacher</t>
  </si>
  <si>
    <t xml:space="preserve">2-s2.0-85210881453</t>
  </si>
  <si>
    <t xml:space="preserve">Digital Literacy Competence for Scientific Writing: Students' Perceptions and Skills</t>
  </si>
  <si>
    <t xml:space="preserve">Journal of Language Teaching and Research</t>
  </si>
  <si>
    <t xml:space="preserve">2-s2.0-85202207523</t>
  </si>
  <si>
    <t xml:space="preserve">Self-Directed Learning and Digital Literacy in Social Studies Learning: Efforts to Improve Students’ Critical Thinking</t>
  </si>
  <si>
    <t xml:space="preserve">Pedagogika</t>
  </si>
  <si>
    <t xml:space="preserve">2-s2.0-85202459256</t>
  </si>
  <si>
    <t xml:space="preserve">Impacts of Generative Artificial Intelligence in Higher Education: Research Trends and Students’ Perceptions</t>
  </si>
  <si>
    <t xml:space="preserve">2-s2.0-85198940263</t>
  </si>
  <si>
    <t xml:space="preserve">Synthesizing perspectives: Crafting an Interdisciplinary view of social media’s impact on young people’s mental health</t>
  </si>
  <si>
    <t xml:space="preserve">2-s2.0-85201710200</t>
  </si>
  <si>
    <t xml:space="preserve">Relationship between Digital Learning, Digital Literacy and Academic Performance of Higher Education Students: Moderated Mediation Role of Critical Thinking</t>
  </si>
  <si>
    <t xml:space="preserve">International Research Journal of Multidisciplinary Scope</t>
  </si>
  <si>
    <t xml:space="preserve">2-s2.0-85205696923</t>
  </si>
  <si>
    <t xml:space="preserve">Media literacy and critical thinking in initial teacher education</t>
  </si>
  <si>
    <t xml:space="preserve">European Public and Social Innovation Review</t>
  </si>
  <si>
    <t xml:space="preserve">2-s2.0-85212264169</t>
  </si>
  <si>
    <t xml:space="preserve">Implications of Statistical Literacy and Critical Thinking for Education and Professional Practice: The Case of Marketing Students</t>
  </si>
  <si>
    <t xml:space="preserve">2-s2.0-85189073001</t>
  </si>
  <si>
    <t xml:space="preserve">Beyond words: L2 writing teachers’ visual conceptualizations of ChatGPT in teaching and learning</t>
  </si>
  <si>
    <t xml:space="preserve">2-s2.0-85181228320</t>
  </si>
  <si>
    <t xml:space="preserve">‘The power to SAY what I want to and it gets written down’: Situating children's and adults' voices and silence in participatory research</t>
  </si>
  <si>
    <t xml:space="preserve">2-s2.0-85202538244</t>
  </si>
  <si>
    <t xml:space="preserve">Education challenges in developing digital competence and critical thinking skills in a post-information age / Desafíos educativos en el desarrollo de la competencia digital y el pensamiento crítico en la era de la posinformación</t>
  </si>
  <si>
    <t xml:space="preserve">2-s2.0-85195116611</t>
  </si>
  <si>
    <t xml:space="preserve">From Digital Literacy to Critical Digital Ecology: Curricula as Digital Places in Art Education</t>
  </si>
  <si>
    <t xml:space="preserve">Visual Arts Research</t>
  </si>
  <si>
    <t xml:space="preserve">2-s2.0-85188206151</t>
  </si>
  <si>
    <t xml:space="preserve">Evaluating the Impact of Smart Learning-Based Inquiry on Enhancing Digital Literacy and Critical Thinking Skills</t>
  </si>
  <si>
    <t xml:space="preserve">Ingenierie Des Systemes D Information</t>
  </si>
  <si>
    <t xml:space="preserve">2-s2.0-85188343904</t>
  </si>
  <si>
    <t xml:space="preserve">Political Ideology, populism, information literacy, and critical thinking: challenges for aspiring teachers</t>
  </si>
  <si>
    <t xml:space="preserve">Revista Latina De Comunicacion Social</t>
  </si>
  <si>
    <t xml:space="preserve">2-s2.0-85215416600</t>
  </si>
  <si>
    <t xml:space="preserve">A Critical Examination of Academic Literacy in Higher Education Beyond the Classroom</t>
  </si>
  <si>
    <t xml:space="preserve">2-s2.0-105003658960</t>
  </si>
  <si>
    <t xml:space="preserve">A critical review of multimedia design and its transition to immersive education</t>
  </si>
  <si>
    <t xml:space="preserve">2-s2.0-85197040560</t>
  </si>
  <si>
    <t xml:space="preserve">“This Image Made Me Feel, but Also Think”: Critical Visual Literacy and Interculturality in the Classroom of Spanish as an Additional Language</t>
  </si>
  <si>
    <t xml:space="preserve">2-s2.0-85200033633</t>
  </si>
  <si>
    <t xml:space="preserve">Employability Discourse in Digital Literacy Frameworks: Analysis in Australian University Libraries</t>
  </si>
  <si>
    <t xml:space="preserve">Journal of the Australian Library and Information Association</t>
  </si>
  <si>
    <t xml:space="preserve">2-s2.0-85195377120</t>
  </si>
  <si>
    <t xml:space="preserve">Investigating the influence of gamification on motivation and learning outcomes in online language learning</t>
  </si>
  <si>
    <t xml:space="preserve">Frontiers in Psychology</t>
  </si>
  <si>
    <t xml:space="preserve">2-s2.0-85205577044</t>
  </si>
  <si>
    <t xml:space="preserve">Enhancing online learning quality through digital сompetencies of students</t>
  </si>
  <si>
    <t xml:space="preserve">Salud Ciencia Y Tecnologia Serie De Conferencias</t>
  </si>
  <si>
    <t xml:space="preserve">2-s2.0-85208981289</t>
  </si>
  <si>
    <t xml:space="preserve">Tenets of Technology as a Post-Truth Credo in Indian Rural Academia</t>
  </si>
  <si>
    <t xml:space="preserve">Pakistan Journal of Life and Social Sciences</t>
  </si>
  <si>
    <t xml:space="preserve">2-s2.0-105008206289</t>
  </si>
  <si>
    <t xml:space="preserve">Project-Based Learning Applied to STEM Career Choice in Hight School Students.</t>
  </si>
  <si>
    <t xml:space="preserve">Interaction Design and Architecture S</t>
  </si>
  <si>
    <t xml:space="preserve">2-s2.0-85183095426</t>
  </si>
  <si>
    <t xml:space="preserve">Exploring fake news awareness and trust in the age of social media among university student TikTok users</t>
  </si>
  <si>
    <t xml:space="preserve">Cogent Social Sciences</t>
  </si>
  <si>
    <t xml:space="preserve">2-s2.0-85214289359</t>
  </si>
  <si>
    <t xml:space="preserve">Factors Influencing the Formation of Intellectual Security among University Students: A Field Study</t>
  </si>
  <si>
    <t xml:space="preserve">International Journal of Cyber Criminology</t>
  </si>
  <si>
    <t xml:space="preserve">2-s2.0-85204738404</t>
  </si>
  <si>
    <t xml:space="preserve">Hidden curriculum in accounting education in the digital era: the evolution, role, controversies, challenges and implications</t>
  </si>
  <si>
    <t xml:space="preserve">Cogent Arts and Humanities</t>
  </si>
  <si>
    <t xml:space="preserve">2-s2.0-85182487672</t>
  </si>
  <si>
    <t xml:space="preserve">An investigation of students and teachers’ new media literacy: the contributing characteristics with the moderator role of gender</t>
  </si>
  <si>
    <t xml:space="preserve">Research and Practice in Technology Enhanced Learning</t>
  </si>
  <si>
    <t xml:space="preserve">2-s2.0-85190502358</t>
  </si>
  <si>
    <t xml:space="preserve">Modeling the development of pedagogical competence in higher education educators amid the digitization of the contemporary world</t>
  </si>
  <si>
    <t xml:space="preserve">2-s2.0-85200559017</t>
  </si>
  <si>
    <t xml:space="preserve">Critical Thinking Development of Foreign Language Teachers Through Digital Literacy Training</t>
  </si>
  <si>
    <t xml:space="preserve">Journal of Educational Technology Development and Exchange</t>
  </si>
  <si>
    <t xml:space="preserve">2-s2.0-85201226355</t>
  </si>
  <si>
    <t xml:space="preserve">Exploring digital competences in Zimbabwean secondary schools using a multimodal view: a hermeneutical phenomenography study</t>
  </si>
  <si>
    <t xml:space="preserve">2-s2.0-85179056171</t>
  </si>
  <si>
    <t xml:space="preserve">Design and evaluation of a revised ARCS motivational model for online classes in higher education</t>
  </si>
  <si>
    <t xml:space="preserve">Heliyon</t>
  </si>
  <si>
    <t xml:space="preserve">2-s2.0-85176575549</t>
  </si>
  <si>
    <t xml:space="preserve">The AI generation gap: Are Gen Z students more interested in adopting generative AI such as ChatGPT in teaching and learning than their Gen X and millennial generation teachers?</t>
  </si>
  <si>
    <t xml:space="preserve">Smart Learning Environments</t>
  </si>
  <si>
    <t xml:space="preserve">2-s2.0-85152519084</t>
  </si>
  <si>
    <t xml:space="preserve">A peer-led, school-based social network intervention for young people in the UK, promoting sexual health via social media and conversations with friends: intervention development and optimisation of STASH</t>
  </si>
  <si>
    <t xml:space="preserve">BMC Public Health</t>
  </si>
  <si>
    <t xml:space="preserve">2-s2.0-85162636777</t>
  </si>
  <si>
    <t xml:space="preserve">Navigating Challenging Digital Literacy Practices: The Settlement Experiences of Adults from Migrant and Refugee Backgrounds</t>
  </si>
  <si>
    <t xml:space="preserve">Adult Education Quarterly</t>
  </si>
  <si>
    <t xml:space="preserve">2-s2.0-85165897387</t>
  </si>
  <si>
    <t xml:space="preserve">Revolutionizing nursing education through Ai integration: A reflection on the disruptive impact of ChatGPT</t>
  </si>
  <si>
    <t xml:space="preserve">2-s2.0-85159870253</t>
  </si>
  <si>
    <t xml:space="preserve">“Places to stand”: Multiple metaphors for framing ChatGPT's corpus</t>
  </si>
  <si>
    <t xml:space="preserve">2-s2.0-85166259356</t>
  </si>
  <si>
    <t xml:space="preserve">Potentialities of Applied Translation for Language Learning in the Era of Artificial Intelligence</t>
  </si>
  <si>
    <t xml:space="preserve">Hispania</t>
  </si>
  <si>
    <t xml:space="preserve">2-s2.0-85161311680</t>
  </si>
  <si>
    <t xml:space="preserve">Digital storytelling as practice-based participatory pedagogy for English for specific purposes</t>
  </si>
  <si>
    <t xml:space="preserve">Language Learning in Higher Education</t>
  </si>
  <si>
    <t xml:space="preserve">2-s2.0-85153593013</t>
  </si>
  <si>
    <t xml:space="preserve">THE TRENDS OF STUDIES IN TECHNOLOGY-ASSISTED INQUIRY-BASED LEARNING: THE PERSPECTIVE OF BIBLIOMETRIC ANALYSIS</t>
  </si>
  <si>
    <t xml:space="preserve">2-s2.0-85186551157</t>
  </si>
  <si>
    <t xml:space="preserve">English Language Learners Making Sense of Social Issues through A Critical Literacy Cycle</t>
  </si>
  <si>
    <t xml:space="preserve">Cuadernos De Linguistica Hispanica</t>
  </si>
  <si>
    <t xml:space="preserve">2-s2.0-85174697038</t>
  </si>
  <si>
    <t xml:space="preserve">Educommunication against fake news: an experience in sMOOC for the development of critical media literacy</t>
  </si>
  <si>
    <t xml:space="preserve">2-s2.0-85132318014</t>
  </si>
  <si>
    <t xml:space="preserve">Designing the digital in authentic assessment: is it fit for purpose?</t>
  </si>
  <si>
    <t xml:space="preserve">Assessment and Evaluation in Higher Education</t>
  </si>
  <si>
    <t xml:space="preserve">2-s2.0-85132318876</t>
  </si>
  <si>
    <t xml:space="preserve">Designing assessment in a digital world: an organising framework</t>
  </si>
  <si>
    <t xml:space="preserve">2-s2.0-85184246817</t>
  </si>
  <si>
    <t xml:space="preserve">B-learning protocol for the higher alphabetization</t>
  </si>
  <si>
    <t xml:space="preserve">2-s2.0-85217027103</t>
  </si>
  <si>
    <t xml:space="preserve">Seeking and encountering online information for menstrual health: a qualitative study among adolescent schoolgirls in Gianyar Regency and Denpasar City, Bali, Indonesia</t>
  </si>
  <si>
    <t xml:space="preserve">Sexual and Reproductive Health Matters</t>
  </si>
  <si>
    <t xml:space="preserve">2-s2.0-85137712319</t>
  </si>
  <si>
    <t xml:space="preserve">The Effect of Digital Literacy on Language Ability in Higher Education: Experience From a Developing Country</t>
  </si>
  <si>
    <t xml:space="preserve">Journal of Higher Education Theory and Practice</t>
  </si>
  <si>
    <t xml:space="preserve">2-s2.0-85134571823</t>
  </si>
  <si>
    <t xml:space="preserve">A Review of Research on Technology-Supported Language Learning and 21st Century Skills</t>
  </si>
  <si>
    <t xml:space="preserve">2-s2.0-85128435297</t>
  </si>
  <si>
    <t xml:space="preserve">Theorising post-truth in the COVID era</t>
  </si>
  <si>
    <t xml:space="preserve">Journal of Educational Change</t>
  </si>
  <si>
    <t xml:space="preserve">2-s2.0-85129108521</t>
  </si>
  <si>
    <t xml:space="preserve">The Effect of Cognitive Style, Critical Thinking, And Digital Literature on Argumentative Writing Skills</t>
  </si>
  <si>
    <t xml:space="preserve">Educational Sciences Theory and Practice</t>
  </si>
  <si>
    <t xml:space="preserve">2-s2.0-85130018563</t>
  </si>
  <si>
    <t xml:space="preserve">Raspberry Pi and Rubber Ducks: Digital Pedagogy and Computer Anxiety in the LIS Classroom</t>
  </si>
  <si>
    <t xml:space="preserve">Journal of Education for Library and Information Science</t>
  </si>
  <si>
    <t xml:space="preserve">2-s2.0-85126310761</t>
  </si>
  <si>
    <t xml:space="preserve">The Research Competence, Critical Thinking Skills and Digital Literacy of Indonesian EFL Students</t>
  </si>
  <si>
    <t xml:space="preserve">2-s2.0-85128475811</t>
  </si>
  <si>
    <t xml:space="preserve">Infusing Digital Literacy in Authentic Academic Digital Practices of English Language Teaching at Universities</t>
  </si>
  <si>
    <t xml:space="preserve">2-s2.0-85129505136</t>
  </si>
  <si>
    <t xml:space="preserve">The correlation between digital literacy and parents’ roles towards elementary school students’ critical thinking</t>
  </si>
  <si>
    <t xml:space="preserve">Cypriot Journal of Educational Sciences</t>
  </si>
  <si>
    <t xml:space="preserve">2-s2.0-85128319435</t>
  </si>
  <si>
    <t xml:space="preserve">Digital Language Teacher Professional Development from a CALL Perspective: Perceived Knowledge and Activeness in ECCR</t>
  </si>
  <si>
    <t xml:space="preserve">Call Ej</t>
  </si>
  <si>
    <t xml:space="preserve">2-s2.0-85118125756</t>
  </si>
  <si>
    <t xml:space="preserve">Everyday negotiations in managing presence: young people and social media in India</t>
  </si>
  <si>
    <t xml:space="preserve">Information Communication and Society</t>
  </si>
  <si>
    <t xml:space="preserve">2-s2.0-85189516442</t>
  </si>
  <si>
    <t xml:space="preserve">The Integration of GBS into a Technologically Restricted Context to Improve Digital Literacy</t>
  </si>
  <si>
    <t xml:space="preserve">Journal of Educational Multimedia and Hypermedia</t>
  </si>
  <si>
    <t xml:space="preserve">2-s2.0-85129078856</t>
  </si>
  <si>
    <t xml:space="preserve">Future Early Childhood Education teachers’ understanding of critical visual literacy and urban art</t>
  </si>
  <si>
    <t xml:space="preserve">2-s2.0-85091115817</t>
  </si>
  <si>
    <t xml:space="preserve">Assessing the Art + feminism Edit-a-thon for Wikipedia literacy, learning outcomes, and critical thinking</t>
  </si>
  <si>
    <t xml:space="preserve">2-s2.0-85143810339</t>
  </si>
  <si>
    <t xml:space="preserve">Using Android-Based E-Module to Improve Students’ Digital Literacy on Chemical Bonding</t>
  </si>
  <si>
    <t xml:space="preserve">International Journal of Interactive Mobile Technologies</t>
  </si>
  <si>
    <t xml:space="preserve">2-s2.0-85216741134</t>
  </si>
  <si>
    <t xml:space="preserve">Lessons from Experience: Student Satisfaction About Remote Modality Adaptation of a Chemistry Course</t>
  </si>
  <si>
    <t xml:space="preserve">New Perspectives in Science Education International Conference</t>
  </si>
  <si>
    <t xml:space="preserve">2-s2.0-85117167779</t>
  </si>
  <si>
    <t xml:space="preserve">Vis-hapt: A methodology proposal to develop visuo-haptic environments in education 4.0</t>
  </si>
  <si>
    <t xml:space="preserve">Future Internet</t>
  </si>
  <si>
    <t xml:space="preserve">2-s2.0-105020598058</t>
  </si>
  <si>
    <t xml:space="preserve">Redesign of science education in the Covid-19 emergency from university students’ perspective</t>
  </si>
  <si>
    <t xml:space="preserve">2-s2.0-85108684699</t>
  </si>
  <si>
    <t xml:space="preserve">Latin America in the chilean history curriculum: Analysis from critical literacy perspective</t>
  </si>
  <si>
    <t xml:space="preserve">2-s2.0-85137051885</t>
  </si>
  <si>
    <t xml:space="preserve">Constructing TULAR NALAR: A digital literacy curriculum for specific themes in Indonesia</t>
  </si>
  <si>
    <t xml:space="preserve">Search Journal of Media and Communication Research</t>
  </si>
  <si>
    <t xml:space="preserve">2-s2.0-85100386656</t>
  </si>
  <si>
    <t xml:space="preserve">Choosing the right question: the effect of different question types on multiple text integration</t>
  </si>
  <si>
    <t xml:space="preserve">Reading and Writing</t>
  </si>
  <si>
    <t xml:space="preserve">2-s2.0-85101090633</t>
  </si>
  <si>
    <t xml:space="preserve">Adolescents' use of online texts about US immigration: recognizing deeply personal meaning-making</t>
  </si>
  <si>
    <t xml:space="preserve">2-s2.0-85106262460</t>
  </si>
  <si>
    <t xml:space="preserve">Review of The Library Screen Scene: Film and Media Literacy in Schools, Colleges, and Communities</t>
  </si>
  <si>
    <t xml:space="preserve">2-s2.0-85104872521</t>
  </si>
  <si>
    <t xml:space="preserve">Reading School: Critical Literacies of the Youth Equity Agents</t>
  </si>
  <si>
    <t xml:space="preserve">2-s2.0-85108789870</t>
  </si>
  <si>
    <t xml:space="preserve">Pre-service teachers’ conceptions and competences on digital literacy in an EFL academic writing setting</t>
  </si>
  <si>
    <t xml:space="preserve">Indonesian Journal of Applied Linguistics</t>
  </si>
  <si>
    <t xml:space="preserve">2-s2.0-85114701460</t>
  </si>
  <si>
    <t xml:space="preserve">Preserving History for the Persistent Legacy of Our School: A Youth-Led Participatory Heritage Project</t>
  </si>
  <si>
    <t xml:space="preserve">Preservation Digital Technology and Culture</t>
  </si>
  <si>
    <t xml:space="preserve">2-s2.0-85101195290</t>
  </si>
  <si>
    <t xml:space="preserve">“This Is Crazy…She’s Real”: How Fourth-Grade Readers Establish Source Authority</t>
  </si>
  <si>
    <t xml:space="preserve">2-s2.0-85107149163</t>
  </si>
  <si>
    <t xml:space="preserve">Exploring the edges of collegiality: a cross-case analysis toward humanizing teachers’ connected learning</t>
  </si>
  <si>
    <t xml:space="preserve">2-s2.0-85116558474</t>
  </si>
  <si>
    <t xml:space="preserve">Building Critical Thinking Skills Through a New Design Mobile-Based Interactive Learning Media Knowledge Framework</t>
  </si>
  <si>
    <t xml:space="preserve">2-s2.0-85104495757</t>
  </si>
  <si>
    <t xml:space="preserve">Characterization of the teaching profile within the framework of education 4.0</t>
  </si>
  <si>
    <t xml:space="preserve">2-s2.0-85108870976</t>
  </si>
  <si>
    <t xml:space="preserve">The Urgency of Digital Literacy for Generation Z Students in Chemistry Learning</t>
  </si>
  <si>
    <t xml:space="preserve">International Journal of Emerging Technologies in Learning</t>
  </si>
  <si>
    <t xml:space="preserve">2-s2.0-85108145780</t>
  </si>
  <si>
    <t xml:space="preserve">Content, changers, community and collaboration: expanding digital media literacy initiatives</t>
  </si>
  <si>
    <t xml:space="preserve">Media Practice and Education</t>
  </si>
  <si>
    <t xml:space="preserve">2-s2.0-85099848004</t>
  </si>
  <si>
    <t xml:space="preserve">Current trends in media and information literacy in research and scientific publications of the early 21st century</t>
  </si>
  <si>
    <t xml:space="preserve">International Journal of Media and Information Literacy</t>
  </si>
  <si>
    <t xml:space="preserve">2-s2.0-85092477814</t>
  </si>
  <si>
    <t xml:space="preserve">Facilitating Civic Learning Within Adult Literacy/Education Curricula</t>
  </si>
  <si>
    <t xml:space="preserve">2-s2.0-85092517734</t>
  </si>
  <si>
    <t xml:space="preserve">Building Student Awareness of Literacy Practices: Anthropological Perspectives</t>
  </si>
  <si>
    <t xml:space="preserve">2-s2.0-85092079527</t>
  </si>
  <si>
    <t xml:space="preserve">My Life the Way I See It: Reconstructing Minoritized Youth With Disabilities as Critical Thinkers</t>
  </si>
  <si>
    <t xml:space="preserve">2-s2.0-85088793180</t>
  </si>
  <si>
    <t xml:space="preserve">Teaching New Literacies and Inquiry: A Grassroots Effort to Bring About Educational Change in Kenya</t>
  </si>
  <si>
    <t xml:space="preserve">2-s2.0-85083663390</t>
  </si>
  <si>
    <t xml:space="preserve">How Students’ Beliefs About Knowledge Matter in Multiple-Source Reading Online: Implications for Classroom Instruction</t>
  </si>
  <si>
    <t xml:space="preserve">2-s2.0-85052054010</t>
  </si>
  <si>
    <t xml:space="preserve">La poesía en el aula de doble inmersión: Claves didácticas y de concienciación para el desarrollo de literacidad crítica e identidad</t>
  </si>
  <si>
    <t xml:space="preserve">Journal of Latinos and Education</t>
  </si>
  <si>
    <t xml:space="preserve">2-s2.0-85092043612</t>
  </si>
  <si>
    <t xml:space="preserve">Contributions of recent theories of critical literacies to esp</t>
  </si>
  <si>
    <t xml:space="preserve">Revista Brasileira De Linguistica Aplicada</t>
  </si>
  <si>
    <t xml:space="preserve">2-s2.0-85083632312</t>
  </si>
  <si>
    <t xml:space="preserve">Making Space: Complicating a Canonical Text Through Critical, Multimodal Work in a Secondary Language Arts Classroom</t>
  </si>
  <si>
    <t xml:space="preserve">2-s2.0-85086908648</t>
  </si>
  <si>
    <t xml:space="preserve">New language learning environment: Employers'-learners' expectations and the role of teacher 4.0</t>
  </si>
  <si>
    <t xml:space="preserve">International Journal of Instruction</t>
  </si>
  <si>
    <t xml:space="preserve">2-s2.0-85090925099</t>
  </si>
  <si>
    <t xml:space="preserve">Climate Justice Literacy: Stories-We-Live-By, Ecolinguistics, and Classroom Practice</t>
  </si>
  <si>
    <t xml:space="preserve">2-s2.0-85077686568</t>
  </si>
  <si>
    <t xml:space="preserve">Fake or for real? A fake news workshop</t>
  </si>
  <si>
    <t xml:space="preserve">Reference Services Review</t>
  </si>
  <si>
    <t xml:space="preserve">2-s2.0-85082705943</t>
  </si>
  <si>
    <t xml:space="preserve">Habituation of digital literacy and critical thinking in mathematics in elementary school</t>
  </si>
  <si>
    <t xml:space="preserve">International Journal of Scientific and Technology Research</t>
  </si>
  <si>
    <t xml:space="preserve">2-s2.0-85075183278</t>
  </si>
  <si>
    <t xml:space="preserve">Critical Expressionism: Expanding Reader Response in Critical Literacy</t>
  </si>
  <si>
    <t xml:space="preserve">2-s2.0-85078726958</t>
  </si>
  <si>
    <t xml:space="preserve">Reshaping home–school connections in the digital age: Challenges for teachers and parents</t>
  </si>
  <si>
    <t xml:space="preserve">2-s2.0-85071367217</t>
  </si>
  <si>
    <t xml:space="preserve">Memory Quilts and Hope Chests: Adult Learners Craft Counterstories in Their Community Museum</t>
  </si>
  <si>
    <t xml:space="preserve">2-s2.0-85079690620</t>
  </si>
  <si>
    <t xml:space="preserve">Teacher’s narration of teaching critical literacy: It’s a KEY for raising students’ awareness in Iran</t>
  </si>
  <si>
    <t xml:space="preserve">Multidisciplinary Journal of Educational Research</t>
  </si>
  <si>
    <t xml:space="preserve">2-s2.0-85074416960</t>
  </si>
  <si>
    <t xml:space="preserve">A Different Ball Game: Physical Education Students' Experiences in Librarian-led Wikipedia Assignments</t>
  </si>
  <si>
    <t xml:space="preserve">Journal of Academic Librarianship</t>
  </si>
  <si>
    <t xml:space="preserve">2-s2.0-85077215870</t>
  </si>
  <si>
    <t xml:space="preserve">Photovoice as Multimodal Curriculum and Method for Community Change</t>
  </si>
  <si>
    <t xml:space="preserve">2-s2.0-85071269311</t>
  </si>
  <si>
    <t xml:space="preserve">Dismantling Winning Stories: Lessons From Applying Critical Literature Pedagogy to The Odyssey</t>
  </si>
  <si>
    <t xml:space="preserve">2-s2.0-85068403708</t>
  </si>
  <si>
    <t xml:space="preserve">Promoting Empathetic Reading With Between Shades of Gray Through a Global Blogging Project</t>
  </si>
  <si>
    <t xml:space="preserve">2-s2.0-85068070706</t>
  </si>
  <si>
    <t xml:space="preserve">Transforming School Hallways Through Critical Inquiry: Multimodal Literacies for Civic Engagement</t>
  </si>
  <si>
    <t xml:space="preserve">2-s2.0-85074146093</t>
  </si>
  <si>
    <t xml:space="preserve">Growing Together: Literacy and Agency in an Early-College Research Collaborative</t>
  </si>
  <si>
    <t xml:space="preserve">2-s2.0-85063933881</t>
  </si>
  <si>
    <t xml:space="preserve">“Ditch the Study Guide”: Creating Short Films to Analyze Literature Circle Texts</t>
  </si>
  <si>
    <t xml:space="preserve">2-s2.0-85063648893</t>
  </si>
  <si>
    <t xml:space="preserve">Exploring Economic Diversity and Inequity Through Picture Books</t>
  </si>
  <si>
    <t xml:space="preserve">2-s2.0-85063403113</t>
  </si>
  <si>
    <t xml:space="preserve">Critical Thinking Is Critical: Octopuses, Online Sources, and Reliability Reasoning</t>
  </si>
  <si>
    <t xml:space="preserve">2-s2.0-85060597558</t>
  </si>
  <si>
    <t xml:space="preserve">Using Applied Theater Practices in Classrooms to Challenge Religious Discrimination Among Students</t>
  </si>
  <si>
    <t xml:space="preserve">2-s2.0-85063993251</t>
  </si>
  <si>
    <t xml:space="preserve">In the weeds: Critical literacy conversations with Allan Luke</t>
  </si>
  <si>
    <t xml:space="preserve">Curriculum Inquiry</t>
  </si>
  <si>
    <t xml:space="preserve">2-s2.0-85064224465</t>
  </si>
  <si>
    <t xml:space="preserve">Why Are We Still Blaming the Families in 2019?</t>
  </si>
  <si>
    <t xml:space="preserve">2-s2.0-85054293200</t>
  </si>
  <si>
    <t xml:space="preserve">Using Photography in a Culturally Responsive Curriculum: Invitations to Read, Write, and Think</t>
  </si>
  <si>
    <t xml:space="preserve">2-s2.0-85061940963</t>
  </si>
  <si>
    <t xml:space="preserve">Critical Literacy and the Importance of Reading With and Against a Text</t>
  </si>
  <si>
    <t xml:space="preserve">2-s2.0-85068139607</t>
  </si>
  <si>
    <t xml:space="preserve">Developing information and new knowledge creation skills: The concepts of information literacy and critical literacy</t>
  </si>
  <si>
    <t xml:space="preserve">Ibersid</t>
  </si>
  <si>
    <t xml:space="preserve">2-s2.0-85060172604</t>
  </si>
  <si>
    <t xml:space="preserve">Engaging english as a foreign language students in critical literacy practices: The case of a teacher at a private university</t>
  </si>
  <si>
    <t xml:space="preserve">Profile Issues in Teachers Professional Development</t>
  </si>
  <si>
    <t xml:space="preserve">2-s2.0-85061233355</t>
  </si>
  <si>
    <t xml:space="preserve">Critical reading skills in high school textbooks</t>
  </si>
  <si>
    <t xml:space="preserve">Revista Signos</t>
  </si>
  <si>
    <t xml:space="preserve">2-s2.0-85064000735</t>
  </si>
  <si>
    <t xml:space="preserve">A learning process model to enhance digital literacy using critical inquiry through digital storytelling (CIDST)</t>
  </si>
  <si>
    <t xml:space="preserve">2-s2.0-85052565123</t>
  </si>
  <si>
    <t xml:space="preserve">Using Linked Text Sets to Promote Advocacy and Agency Through a Critical Lens</t>
  </si>
  <si>
    <t xml:space="preserve">2-s2.0-85019238913</t>
  </si>
  <si>
    <t xml:space="preserve">A Democracy of Children’s Literature Critics? The Opportunities and Risks of Paying Attention to Open Reviews and Mass Discussion</t>
  </si>
  <si>
    <t xml:space="preserve">Children S Literature in Education</t>
  </si>
  <si>
    <t xml:space="preserve">2-s2.0-85056669443</t>
  </si>
  <si>
    <t xml:space="preserve">Critical literacy in #DigitalActivism: collaborative choice and action</t>
  </si>
  <si>
    <t xml:space="preserve">International Journal of Information and Learning Technology</t>
  </si>
  <si>
    <t xml:space="preserve">2-s2.0-85055554621</t>
  </si>
  <si>
    <t xml:space="preserve">Working Critically and Creatively With Fake News</t>
  </si>
  <si>
    <t xml:space="preserve">2-s2.0-85050504045</t>
  </si>
  <si>
    <t xml:space="preserve">Critical Literacy for Culturally Diverse Teenagers: “I've Learned Something That Is Actually Useful”</t>
  </si>
  <si>
    <t xml:space="preserve">2-s2.0-85050340362</t>
  </si>
  <si>
    <t xml:space="preserve">A snapchat story: how black girls develop strategies for critical resistance in school</t>
  </si>
  <si>
    <t xml:space="preserve">2-s2.0-85047602212</t>
  </si>
  <si>
    <t xml:space="preserve">Title IX Story Club: Creating Possibilities for Minoritized Middle School Girls in Physical Activity</t>
  </si>
  <si>
    <t xml:space="preserve">2-s2.0-85049023217</t>
  </si>
  <si>
    <t xml:space="preserve">Texts, Identities, and Ethics: Critical Literacy in a Post-Truth World</t>
  </si>
  <si>
    <t xml:space="preserve">2-s2.0-85043592518</t>
  </si>
  <si>
    <t xml:space="preserve">Literary Analysis Using Minecraft: An Asian American Youth Crafts Her Literacy Identity</t>
  </si>
  <si>
    <t xml:space="preserve">2-s2.0-85042771713</t>
  </si>
  <si>
    <t xml:space="preserve">Scaffolding Critical Questions: Learning to Read the World in a Middle School Civics Class in Mexico</t>
  </si>
  <si>
    <t xml:space="preserve">2-s2.0-85048999779</t>
  </si>
  <si>
    <t xml:space="preserve">Beyond School Breaks: Reinterpreting the Uses of Film in Classrooms</t>
  </si>
  <si>
    <t xml:space="preserve">2-s2.0-85048072621</t>
  </si>
  <si>
    <t xml:space="preserve">Multimedia news storytelling as digital literacies: An alternative paradigm for online journalism education</t>
  </si>
  <si>
    <t xml:space="preserve">Journalism</t>
  </si>
  <si>
    <t xml:space="preserve">2-s2.0-85040629135</t>
  </si>
  <si>
    <t xml:space="preserve">Learning to Talk Back to Texts</t>
  </si>
  <si>
    <t xml:space="preserve">2-s2.0-85045917772</t>
  </si>
  <si>
    <t xml:space="preserve">Unlocking the Cage: Empowering Literacy Representations in Netflix's Luke Cage Series</t>
  </si>
  <si>
    <t xml:space="preserve">2-s2.0-85045975628</t>
  </si>
  <si>
    <t xml:space="preserve">Think Globally, Act Locally: Teaching Climate Change Through Digital Inquiry</t>
  </si>
  <si>
    <t xml:space="preserve">2-s2.0-85042424865</t>
  </si>
  <si>
    <t xml:space="preserve">The Optimism of Uncertainty: A Call to Action</t>
  </si>
  <si>
    <t xml:space="preserve">2-s2.0-85042358116</t>
  </si>
  <si>
    <t xml:space="preserve">The Dangers of Test Preparation: What Students Learn (and Don't Learn) About Reading Comprehension From Test-Centric Literacy Instruction</t>
  </si>
  <si>
    <t xml:space="preserve">2-s2.0-85042397821</t>
  </si>
  <si>
    <t xml:space="preserve">From Situated Privilege to Dis/abilities: Developing Critical Literacies Across Social Issues</t>
  </si>
  <si>
    <t xml:space="preserve">2-s2.0-85028564530</t>
  </si>
  <si>
    <t xml:space="preserve">Teachers’ conceptualization and enactment of twenty-first century competences: exploring dimensions for new curricula</t>
  </si>
  <si>
    <t xml:space="preserve">Curriculum Journal</t>
  </si>
  <si>
    <t xml:space="preserve">2-s2.0-85039173633</t>
  </si>
  <si>
    <t xml:space="preserve">Learning to Queer Text: Epiphanies From a Family Critical Literacy Practice</t>
  </si>
  <si>
    <t xml:space="preserve">2-s2.0-85162927695</t>
  </si>
  <si>
    <t xml:space="preserve">Making and Breaking: Teaching Information Ethics through Curatorial Practice</t>
  </si>
  <si>
    <t xml:space="preserve">Digital Humanities Quarterly</t>
  </si>
  <si>
    <t xml:space="preserve">2-s2.0-85033605574</t>
  </si>
  <si>
    <t xml:space="preserve">Using social media to support small group learning</t>
  </si>
  <si>
    <t xml:space="preserve">2-s2.0-85032296176</t>
  </si>
  <si>
    <t xml:space="preserve">Social Media Texts and Critical Inquiry in a Post-Factual Era</t>
  </si>
  <si>
    <t xml:space="preserve">2-s2.0-85021710233</t>
  </si>
  <si>
    <t xml:space="preserve">How the Visual Rhetoric of Online Discussions Enables and Constrains Students’ Participation</t>
  </si>
  <si>
    <t xml:space="preserve">2-s2.0-85041553141</t>
  </si>
  <si>
    <t xml:space="preserve">Experimenting with critical multimodal literacy through cinema: A case study</t>
  </si>
  <si>
    <t xml:space="preserve">Calidoscopio</t>
  </si>
  <si>
    <t xml:space="preserve">2-s2.0-85028550292</t>
  </si>
  <si>
    <t xml:space="preserve">“Nobody Spoke Like I Did”: Picture Books, Critical Literacy, and Global Contexts</t>
  </si>
  <si>
    <t xml:space="preserve">2-s2.0-85028550580</t>
  </si>
  <si>
    <t xml:space="preserve">Confronting the Digital Divide: Debunking Brave New World Discourses</t>
  </si>
  <si>
    <t xml:space="preserve">2-s2.0-85021289909</t>
  </si>
  <si>
    <t xml:space="preserve">The M Word: Dare We Use It?</t>
  </si>
  <si>
    <t xml:space="preserve">2-s2.0-85013093664</t>
  </si>
  <si>
    <t xml:space="preserve">Picturing Ethnic Studies: Photovoice and Youth Literacies of Social Action</t>
  </si>
  <si>
    <t xml:space="preserve">2-s2.0-85015388350</t>
  </si>
  <si>
    <t xml:space="preserve">Creative Criticism: Dialogue and Aesthetics in the English Language Arts Classroom</t>
  </si>
  <si>
    <t xml:space="preserve">2-s2.0-85015250868</t>
  </si>
  <si>
    <t xml:space="preserve">Self-Regulated Learning: A Touchstone for Technology-Enhanced Classrooms</t>
  </si>
  <si>
    <t xml:space="preserve">2-s2.0-85002715279</t>
  </si>
  <si>
    <t xml:space="preserve">“Everybody Knows Your Business”/“Todo Mundo Se Da Cuenta”: Immigrant Adults’ Construction of Privacy, Risk, and Vulnerability in Online Platforms</t>
  </si>
  <si>
    <t xml:space="preserve">2-s2.0-84988643499</t>
  </si>
  <si>
    <t xml:space="preserve">Using Short Films in the Classroom as a Stimulus for Digital Text Creation</t>
  </si>
  <si>
    <t xml:space="preserve">2-s2.0-84984823996</t>
  </si>
  <si>
    <t xml:space="preserve">Math Word Problems: Reading Math Situations From the Start</t>
  </si>
  <si>
    <t xml:space="preserve">2-s2.0-85038610155</t>
  </si>
  <si>
    <t xml:space="preserve">Monster high as a virtual dollhouse: Tracking play practices across converging transmedia and social media</t>
  </si>
  <si>
    <t xml:space="preserve">Teachers College Record</t>
  </si>
  <si>
    <t xml:space="preserve">2-s2.0-84992474579</t>
  </si>
  <si>
    <t xml:space="preserve">Making Foster Youths’ Lives and Everyday Literacies Visible Through Film</t>
  </si>
  <si>
    <t xml:space="preserve">2-s2.0-84987924693</t>
  </si>
  <si>
    <t xml:space="preserve">Drawing near and pushing away: critical positioning in multimodal composition</t>
  </si>
  <si>
    <t xml:space="preserve">2-s2.0-84961211464</t>
  </si>
  <si>
    <t xml:space="preserve">Synthesizing Pedagogies and Engaging Students: Creating Blended eLearning Strategies for Library Research and Writing Instruction</t>
  </si>
  <si>
    <t xml:space="preserve">Reference Librarian</t>
  </si>
  <si>
    <t xml:space="preserve">2-s2.0-84994807452</t>
  </si>
  <si>
    <t xml:space="preserve">Transmedia dynamics in education: the case of Robot Heart Stories</t>
  </si>
  <si>
    <t xml:space="preserve">Educational Media International</t>
  </si>
  <si>
    <t xml:space="preserve">2-s2.0-84974817498</t>
  </si>
  <si>
    <t xml:space="preserve">Developing skills in digital contexts: Video games and films as learning tools at primary school</t>
  </si>
  <si>
    <t xml:space="preserve">Games and Culture</t>
  </si>
  <si>
    <t xml:space="preserve">Supplementary file S3. PRISMA-ScR checklist</t>
  </si>
  <si>
    <t xml:space="preserve">Where each item (Tricco et al., 2018) is reported in the manuscript.</t>
  </si>
  <si>
    <t xml:space="preserve">Section</t>
  </si>
  <si>
    <t xml:space="preserve">Item</t>
  </si>
  <si>
    <t xml:space="preserve">Reported in</t>
  </si>
  <si>
    <t xml:space="preserve">Identify the report as a scoping review</t>
  </si>
  <si>
    <t xml:space="preserve">Abstract</t>
  </si>
  <si>
    <t xml:space="preserve">Structured summary</t>
  </si>
  <si>
    <t xml:space="preserve">Introduction</t>
  </si>
  <si>
    <t xml:space="preserve">Rationale</t>
  </si>
  <si>
    <t xml:space="preserve">Introduction, paragraphs 1–4</t>
  </si>
  <si>
    <t xml:space="preserve">Objectives</t>
  </si>
  <si>
    <t xml:space="preserve">Introduction, RQ1–RQ4</t>
  </si>
  <si>
    <t xml:space="preserve">Methods</t>
  </si>
  <si>
    <t xml:space="preserve">Protocol and registration</t>
  </si>
  <si>
    <t xml:space="preserve">Method, Design (no protocol registered; data and code openly available)</t>
  </si>
  <si>
    <t xml:space="preserve">Eligibility criteria</t>
  </si>
  <si>
    <t xml:space="preserve">Method, Eligibility criteria; Table 1</t>
  </si>
  <si>
    <t xml:space="preserve">Information sources</t>
  </si>
  <si>
    <t xml:space="preserve">Method, Information source and search</t>
  </si>
  <si>
    <t xml:space="preserve">Full search strategy</t>
  </si>
  <si>
    <t xml:space="preserve">Appendix A1</t>
  </si>
  <si>
    <t xml:space="preserve">Selection of sources of evidence</t>
  </si>
  <si>
    <t xml:space="preserve">Method, Selection of sources; Table 2; verification by a second reviewer</t>
  </si>
  <si>
    <t xml:space="preserve">Data charting process</t>
  </si>
  <si>
    <t xml:space="preserve">Method, Charting the data; Validation on full texts; S4</t>
  </si>
  <si>
    <t xml:space="preserve">Data items</t>
  </si>
  <si>
    <t xml:space="preserve">Method, Charting the data; Appendix A3</t>
  </si>
  <si>
    <t xml:space="preserve">Critical appraisal of individual sources (optional)</t>
  </si>
  <si>
    <t xml:space="preserve">Method, Analysis: not carried out</t>
  </si>
  <si>
    <t xml:space="preserve">Synthesis of results</t>
  </si>
  <si>
    <t xml:space="preserve">Method, Analysis</t>
  </si>
  <si>
    <t xml:space="preserve">Results</t>
  </si>
  <si>
    <t xml:space="preserve">Results, Selection; Figure 1</t>
  </si>
  <si>
    <t xml:space="preserve">Characteristics of sources of evidence</t>
  </si>
  <si>
    <t xml:space="preserve">Results; Table 3; Figures 2–3; S1</t>
  </si>
  <si>
    <t xml:space="preserve">Critical appraisal within sources (optional)</t>
  </si>
  <si>
    <t xml:space="preserve">Not applicable</t>
  </si>
  <si>
    <t xml:space="preserve">Results of individual sources of evidence</t>
  </si>
  <si>
    <t xml:space="preserve">S1; S5; Tables 6–7</t>
  </si>
  <si>
    <t xml:space="preserve">Results, RQ1–RQ4 and Validation on full texts; Tables 3–8; Figures 2–5</t>
  </si>
  <si>
    <t xml:space="preserve">Discussion</t>
  </si>
  <si>
    <t xml:space="preserve">Summary of evidence</t>
  </si>
  <si>
    <t xml:space="preserve">Limitations</t>
  </si>
  <si>
    <t xml:space="preserve">Conclusions</t>
  </si>
  <si>
    <t xml:space="preserve">Conclusion</t>
  </si>
  <si>
    <t xml:space="preserve">Funding</t>
  </si>
  <si>
    <t xml:space="preserve">Title page, Declarations</t>
  </si>
</sst>
</file>

<file path=xl/styles.xml><?xml version="1.0" encoding="utf-8"?>
<styleSheet xmlns="http://schemas.openxmlformats.org/spreadsheetml/2006/main">
  <numFmts count="6">
    <numFmt numFmtId="164" formatCode="General"/>
    <numFmt numFmtId="165" formatCode="0.0%"/>
    <numFmt numFmtId="166" formatCode="0.00"/>
    <numFmt numFmtId="167" formatCode="0.0"/>
    <numFmt numFmtId="168" formatCode="0%"/>
    <numFmt numFmtId="169" formatCode="0.00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name val="Arial"/>
      <family val="0"/>
      <charset val="1"/>
    </font>
    <font>
      <i val="true"/>
      <sz val="9"/>
      <color rgb="FF595959"/>
      <name val="Arial"/>
      <family val="0"/>
      <charset val="1"/>
    </font>
    <font>
      <sz val="11"/>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E7E6E6"/>
        <bgColor rgb="FFD9D9D9"/>
      </patternFill>
    </fill>
  </fills>
  <borders count="2">
    <border diagonalUp="false" diagonalDown="false">
      <left/>
      <right/>
      <top/>
      <bottom/>
      <diagonal/>
    </border>
    <border diagonalUp="false" diagonalDown="false">
      <left/>
      <right/>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E6E6"/>
          <bgColor rgb="FF000000"/>
        </patternFill>
      </fill>
    </dxf>
    <dxf>
      <fill>
        <patternFill patternType="solid">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2F75B5"/>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Included studies per year by language</a:t>
            </a:r>
          </a:p>
        </c:rich>
      </c:tx>
      <c:overlay val="0"/>
      <c:spPr>
        <a:noFill/>
        <a:ln w="0">
          <a:noFill/>
        </a:ln>
      </c:spPr>
    </c:title>
    <c:autoTitleDeleted val="0"/>
    <c:plotArea>
      <c:barChart>
        <c:barDir val="col"/>
        <c:grouping val="stacked"/>
        <c:varyColors val="0"/>
        <c:ser>
          <c:idx val="0"/>
          <c:order val="0"/>
          <c:tx>
            <c:strRef>
              <c:f>Fig2_Annual!B3</c:f>
              <c:strCache>
                <c:ptCount val="1"/>
                <c:pt idx="0">
                  <c:v>English</c:v>
                </c:pt>
              </c:strCache>
            </c:strRef>
          </c:tx>
          <c:spPr>
            <a:solidFill>
              <a:srgbClr val="bfbfb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Fig2_Annual!$A$4:$A$14</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Fig2_Annual!$B$4:$B$14</c:f>
              <c:numCache>
                <c:formatCode>General</c:formatCode>
                <c:ptCount val="11"/>
                <c:pt idx="0">
                  <c:v>2</c:v>
                </c:pt>
                <c:pt idx="1">
                  <c:v>2</c:v>
                </c:pt>
                <c:pt idx="2">
                  <c:v>7</c:v>
                </c:pt>
                <c:pt idx="3">
                  <c:v>7</c:v>
                </c:pt>
                <c:pt idx="4">
                  <c:v>7</c:v>
                </c:pt>
                <c:pt idx="5">
                  <c:v>9</c:v>
                </c:pt>
                <c:pt idx="6">
                  <c:v>6</c:v>
                </c:pt>
                <c:pt idx="7">
                  <c:v>11</c:v>
                </c:pt>
                <c:pt idx="8">
                  <c:v>6</c:v>
                </c:pt>
                <c:pt idx="9">
                  <c:v>19</c:v>
                </c:pt>
                <c:pt idx="10">
                  <c:v>40</c:v>
                </c:pt>
              </c:numCache>
            </c:numRef>
          </c:val>
        </c:ser>
        <c:ser>
          <c:idx val="1"/>
          <c:order val="1"/>
          <c:tx>
            <c:strRef>
              <c:f>Fig2_Annual!C3</c:f>
              <c:strCache>
                <c:ptCount val="1"/>
                <c:pt idx="0">
                  <c:v>Spanish</c:v>
                </c:pt>
              </c:strCache>
            </c:strRef>
          </c:tx>
          <c:spPr>
            <a:solidFill>
              <a:srgbClr val="2f75b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Fig2_Annual!$A$4:$A$14</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Fig2_Annual!$C$4:$C$14</c:f>
              <c:numCache>
                <c:formatCode>General</c:formatCode>
                <c:ptCount val="11"/>
                <c:pt idx="0">
                  <c:v>0</c:v>
                </c:pt>
                <c:pt idx="1">
                  <c:v>0</c:v>
                </c:pt>
                <c:pt idx="2">
                  <c:v>0</c:v>
                </c:pt>
                <c:pt idx="3">
                  <c:v>0</c:v>
                </c:pt>
                <c:pt idx="4">
                  <c:v>1</c:v>
                </c:pt>
                <c:pt idx="5">
                  <c:v>0</c:v>
                </c:pt>
                <c:pt idx="6">
                  <c:v>1</c:v>
                </c:pt>
                <c:pt idx="7">
                  <c:v>0</c:v>
                </c:pt>
                <c:pt idx="8">
                  <c:v>2</c:v>
                </c:pt>
                <c:pt idx="9">
                  <c:v>3</c:v>
                </c:pt>
                <c:pt idx="10">
                  <c:v>12</c:v>
                </c:pt>
              </c:numCache>
            </c:numRef>
          </c:val>
        </c:ser>
        <c:gapWidth val="150"/>
        <c:overlap val="100"/>
        <c:axId val="26301396"/>
        <c:axId val="35297810"/>
      </c:barChart>
      <c:lineChart>
        <c:grouping val="stacked"/>
        <c:varyColors val="0"/>
        <c:ser>
          <c:idx val="2"/>
          <c:order val="2"/>
          <c:tx>
            <c:strRef>
              <c:f>Fig2_Annual!E3</c:f>
              <c:strCache>
                <c:ptCount val="1"/>
                <c:pt idx="0">
                  <c:v>Poisson trend</c:v>
                </c:pt>
              </c:strCache>
            </c:strRef>
          </c:tx>
          <c:spPr>
            <a:solidFill>
              <a:srgbClr val="595959"/>
            </a:solidFill>
            <a:ln w="28440">
              <a:solidFill>
                <a:srgbClr val="59595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Fig2_Annual!$A$4:$A$14</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Fig2_Annual!$E$4:$E$14</c:f>
              <c:numCache>
                <c:formatCode>0.0</c:formatCode>
                <c:ptCount val="11"/>
                <c:pt idx="0">
                  <c:v>3.09654226319077</c:v>
                </c:pt>
                <c:pt idx="1">
                  <c:v>3.73593618829536</c:v>
                </c:pt>
                <c:pt idx="2">
                  <c:v>4.50735627571669</c:v>
                </c:pt>
                <c:pt idx="3">
                  <c:v>5.4380641350067</c:v>
                </c:pt>
                <c:pt idx="4">
                  <c:v>6.56095052786658</c:v>
                </c:pt>
                <c:pt idx="5">
                  <c:v>7.91569771161953</c:v>
                </c:pt>
                <c:pt idx="6">
                  <c:v>9.55018179082554</c:v>
                </c:pt>
                <c:pt idx="7">
                  <c:v>11.5221646354602</c:v>
                </c:pt>
                <c:pt idx="8">
                  <c:v>13.9013351572204</c:v>
                </c:pt>
                <c:pt idx="9">
                  <c:v>16.7717720816662</c:v>
                </c:pt>
              </c:numCache>
            </c:numRef>
          </c:val>
          <c:smooth val="0"/>
        </c:ser>
        <c:hiLowLines>
          <c:spPr>
            <a:ln w="0">
              <a:noFill/>
            </a:ln>
          </c:spPr>
        </c:hiLowLines>
        <c:marker val="0"/>
        <c:axId val="26301396"/>
        <c:axId val="35297810"/>
      </c:lineChart>
      <c:catAx>
        <c:axId val="263013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297810"/>
        <c:crosses val="autoZero"/>
        <c:auto val="1"/>
        <c:lblAlgn val="ctr"/>
        <c:lblOffset val="100"/>
        <c:noMultiLvlLbl val="0"/>
      </c:catAx>
      <c:valAx>
        <c:axId val="352978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Studies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3013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Studies by country (top 12)</a:t>
            </a:r>
          </a:p>
        </c:rich>
      </c:tx>
      <c:overlay val="0"/>
      <c:spPr>
        <a:noFill/>
        <a:ln w="0">
          <a:noFill/>
        </a:ln>
      </c:spPr>
    </c:title>
    <c:autoTitleDeleted val="0"/>
    <c:plotArea>
      <c:barChart>
        <c:barDir val="bar"/>
        <c:grouping val="clustered"/>
        <c:varyColors val="0"/>
        <c:ser>
          <c:idx val="0"/>
          <c:order val="0"/>
          <c:tx>
            <c:strRef>
              <c:f>Fig3_Countries!B3</c:f>
              <c:strCache>
                <c:ptCount val="1"/>
                <c:pt idx="0">
                  <c:v>Studies</c:v>
                </c:pt>
              </c:strCache>
            </c:strRef>
          </c:tx>
          <c:spPr>
            <a:solidFill>
              <a:srgbClr val="2f75b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Fig3_Countries!$A$4:$A$15</c:f>
              <c:strCache>
                <c:ptCount val="12"/>
                <c:pt idx="0">
                  <c:v>United States</c:v>
                </c:pt>
                <c:pt idx="1">
                  <c:v>Spain</c:v>
                </c:pt>
                <c:pt idx="2">
                  <c:v>Canada</c:v>
                </c:pt>
                <c:pt idx="3">
                  <c:v>United Kingdom</c:v>
                </c:pt>
                <c:pt idx="4">
                  <c:v>Hong Kong</c:v>
                </c:pt>
                <c:pt idx="5">
                  <c:v>Australia</c:v>
                </c:pt>
                <c:pt idx="6">
                  <c:v>Indonesia</c:v>
                </c:pt>
                <c:pt idx="7">
                  <c:v>China</c:v>
                </c:pt>
                <c:pt idx="8">
                  <c:v>Turkey</c:v>
                </c:pt>
                <c:pt idx="9">
                  <c:v>Singapore</c:v>
                </c:pt>
                <c:pt idx="10">
                  <c:v>Sweden</c:v>
                </c:pt>
                <c:pt idx="11">
                  <c:v>Germany</c:v>
                </c:pt>
              </c:strCache>
            </c:strRef>
          </c:cat>
          <c:val>
            <c:numRef>
              <c:f>Fig3_Countries!$B$4:$B$15</c:f>
              <c:numCache>
                <c:formatCode>General</c:formatCode>
                <c:ptCount val="12"/>
                <c:pt idx="0">
                  <c:v>32</c:v>
                </c:pt>
                <c:pt idx="1">
                  <c:v>27</c:v>
                </c:pt>
                <c:pt idx="2">
                  <c:v>8</c:v>
                </c:pt>
                <c:pt idx="3">
                  <c:v>8</c:v>
                </c:pt>
                <c:pt idx="4">
                  <c:v>7</c:v>
                </c:pt>
                <c:pt idx="5">
                  <c:v>5</c:v>
                </c:pt>
                <c:pt idx="6">
                  <c:v>4</c:v>
                </c:pt>
                <c:pt idx="7">
                  <c:v>4</c:v>
                </c:pt>
                <c:pt idx="8">
                  <c:v>4</c:v>
                </c:pt>
                <c:pt idx="9">
                  <c:v>3</c:v>
                </c:pt>
                <c:pt idx="10">
                  <c:v>3</c:v>
                </c:pt>
                <c:pt idx="11">
                  <c:v>3</c:v>
                </c:pt>
              </c:numCache>
            </c:numRef>
          </c:val>
        </c:ser>
        <c:gapWidth val="150"/>
        <c:overlap val="0"/>
        <c:axId val="6108322"/>
        <c:axId val="96194551"/>
      </c:barChart>
      <c:catAx>
        <c:axId val="610832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194551"/>
        <c:crosses val="autoZero"/>
        <c:auto val="1"/>
        <c:lblAlgn val="ctr"/>
        <c:lblOffset val="100"/>
        <c:noMultiLvlLbl val="0"/>
      </c:catAx>
      <c:valAx>
        <c:axId val="9619455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Studies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0832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Studies by region</a:t>
            </a:r>
          </a:p>
        </c:rich>
      </c:tx>
      <c:overlay val="0"/>
      <c:spPr>
        <a:noFill/>
        <a:ln w="0">
          <a:noFill/>
        </a:ln>
      </c:spPr>
    </c:title>
    <c:autoTitleDeleted val="0"/>
    <c:plotArea>
      <c:barChart>
        <c:barDir val="bar"/>
        <c:grouping val="clustered"/>
        <c:varyColors val="0"/>
        <c:ser>
          <c:idx val="0"/>
          <c:order val="0"/>
          <c:tx>
            <c:strRef>
              <c:f>Fig3_Countries!E3</c:f>
              <c:strCache>
                <c:ptCount val="1"/>
                <c:pt idx="0">
                  <c:v>Studies</c:v>
                </c:pt>
              </c:strCache>
            </c:strRef>
          </c:tx>
          <c:spPr>
            <a:solidFill>
              <a:srgbClr val="a6a6a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Fig3_Countries!$D$4:$D$9</c:f>
              <c:strCache>
                <c:ptCount val="6"/>
                <c:pt idx="0">
                  <c:v>Europe</c:v>
                </c:pt>
                <c:pt idx="1">
                  <c:v>North America</c:v>
                </c:pt>
                <c:pt idx="2">
                  <c:v>Asia</c:v>
                </c:pt>
                <c:pt idx="3">
                  <c:v>Latin America</c:v>
                </c:pt>
                <c:pt idx="4">
                  <c:v>Oceania</c:v>
                </c:pt>
                <c:pt idx="5">
                  <c:v>Africa</c:v>
                </c:pt>
              </c:strCache>
            </c:strRef>
          </c:cat>
          <c:val>
            <c:numRef>
              <c:f>Fig3_Countries!$E$4:$E$9</c:f>
              <c:numCache>
                <c:formatCode>General</c:formatCode>
                <c:ptCount val="6"/>
                <c:pt idx="0">
                  <c:v>48</c:v>
                </c:pt>
                <c:pt idx="1">
                  <c:v>40</c:v>
                </c:pt>
                <c:pt idx="2">
                  <c:v>33</c:v>
                </c:pt>
                <c:pt idx="3">
                  <c:v>7</c:v>
                </c:pt>
                <c:pt idx="4">
                  <c:v>5</c:v>
                </c:pt>
                <c:pt idx="5">
                  <c:v>2</c:v>
                </c:pt>
              </c:numCache>
            </c:numRef>
          </c:val>
        </c:ser>
        <c:gapWidth val="150"/>
        <c:overlap val="0"/>
        <c:axId val="90360193"/>
        <c:axId val="18907854"/>
      </c:barChart>
      <c:catAx>
        <c:axId val="9036019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07854"/>
        <c:crosses val="autoZero"/>
        <c:auto val="1"/>
        <c:lblAlgn val="ctr"/>
        <c:lblOffset val="100"/>
        <c:noMultiLvlLbl val="0"/>
      </c:catAx>
      <c:valAx>
        <c:axId val="1890785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6019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Objects of critique by period</a:t>
            </a:r>
          </a:p>
        </c:rich>
      </c:tx>
      <c:overlay val="0"/>
      <c:spPr>
        <a:noFill/>
        <a:ln w="0">
          <a:noFill/>
        </a:ln>
      </c:spPr>
    </c:title>
    <c:autoTitleDeleted val="0"/>
    <c:plotArea>
      <c:lineChart>
        <c:grouping val="standard"/>
        <c:varyColors val="0"/>
        <c:ser>
          <c:idx val="0"/>
          <c:order val="0"/>
          <c:tx>
            <c:strRef>
              <c:f>Fig4_Objects!G3</c:f>
              <c:strCache>
                <c:ptCount val="1"/>
                <c:pt idx="0">
                  <c:v>Artificial intelligence %</c:v>
                </c:pt>
              </c:strCache>
            </c:strRef>
          </c:tx>
          <c:spPr>
            <a:solidFill>
              <a:srgbClr val="2f75b5"/>
            </a:solidFill>
            <a:ln w="28080">
              <a:solidFill>
                <a:srgbClr val="2f75b5"/>
              </a:solidFill>
              <a:round/>
            </a:ln>
          </c:spPr>
          <c:marker>
            <c:symbol val="circle"/>
            <c:size val="5"/>
            <c:spPr>
              <a:solidFill>
                <a:srgbClr val="2f75b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Fig4_Objects!$A$4:$A$6</c:f>
              <c:strCache>
                <c:ptCount val="3"/>
                <c:pt idx="0">
                  <c:v>2016–2019</c:v>
                </c:pt>
                <c:pt idx="1">
                  <c:v>2020–2023</c:v>
                </c:pt>
                <c:pt idx="2">
                  <c:v>2024–2026</c:v>
                </c:pt>
              </c:strCache>
            </c:strRef>
          </c:cat>
          <c:val>
            <c:numRef>
              <c:f>Fig4_Objects!$G$4:$G$6</c:f>
              <c:numCache>
                <c:formatCode>0.0%</c:formatCode>
                <c:ptCount val="3"/>
                <c:pt idx="0">
                  <c:v>0</c:v>
                </c:pt>
                <c:pt idx="1">
                  <c:v>0.0571428571428571</c:v>
                </c:pt>
                <c:pt idx="2">
                  <c:v>0.426829268292683</c:v>
                </c:pt>
              </c:numCache>
            </c:numRef>
          </c:val>
          <c:smooth val="0"/>
        </c:ser>
        <c:ser>
          <c:idx val="1"/>
          <c:order val="1"/>
          <c:tx>
            <c:strRef>
              <c:f>Fig4_Objects!H3</c:f>
              <c:strCache>
                <c:ptCount val="1"/>
                <c:pt idx="0">
                  <c:v>Algorithms, data and platforms %</c:v>
                </c:pt>
              </c:strCache>
            </c:strRef>
          </c:tx>
          <c:spPr>
            <a:solidFill>
              <a:srgbClr val="9dc3e6"/>
            </a:solidFill>
            <a:ln w="28080">
              <a:solidFill>
                <a:srgbClr val="9dc3e6"/>
              </a:solidFill>
              <a:round/>
            </a:ln>
          </c:spPr>
          <c:marker>
            <c:symbol val="circle"/>
            <c:size val="5"/>
            <c:spPr>
              <a:solidFill>
                <a:srgbClr val="9dc3e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Fig4_Objects!$A$4:$A$6</c:f>
              <c:strCache>
                <c:ptCount val="3"/>
                <c:pt idx="0">
                  <c:v>2016–2019</c:v>
                </c:pt>
                <c:pt idx="1">
                  <c:v>2020–2023</c:v>
                </c:pt>
                <c:pt idx="2">
                  <c:v>2024–2026</c:v>
                </c:pt>
              </c:strCache>
            </c:strRef>
          </c:cat>
          <c:val>
            <c:numRef>
              <c:f>Fig4_Objects!$H$4:$H$6</c:f>
              <c:numCache>
                <c:formatCode>0.0%</c:formatCode>
                <c:ptCount val="3"/>
                <c:pt idx="0">
                  <c:v>0.0555555555555556</c:v>
                </c:pt>
                <c:pt idx="1">
                  <c:v>0.171428571428571</c:v>
                </c:pt>
                <c:pt idx="2">
                  <c:v>0.317073170731707</c:v>
                </c:pt>
              </c:numCache>
            </c:numRef>
          </c:val>
          <c:smooth val="0"/>
        </c:ser>
        <c:ser>
          <c:idx val="2"/>
          <c:order val="2"/>
          <c:tx>
            <c:strRef>
              <c:f>Fig4_Objects!I3</c:f>
              <c:strCache>
                <c:ptCount val="1"/>
                <c:pt idx="0">
                  <c:v>Social media %</c:v>
                </c:pt>
              </c:strCache>
            </c:strRef>
          </c:tx>
          <c:spPr>
            <a:solidFill>
              <a:srgbClr val="a6a6a6"/>
            </a:solidFill>
            <a:ln w="28080">
              <a:solidFill>
                <a:srgbClr val="a6a6a6"/>
              </a:solidFill>
              <a:round/>
            </a:ln>
          </c:spPr>
          <c:marker>
            <c:symbol val="circle"/>
            <c:size val="5"/>
            <c:spPr>
              <a:solidFill>
                <a:srgbClr val="a6a6a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Fig4_Objects!$A$4:$A$6</c:f>
              <c:strCache>
                <c:ptCount val="3"/>
                <c:pt idx="0">
                  <c:v>2016–2019</c:v>
                </c:pt>
                <c:pt idx="1">
                  <c:v>2020–2023</c:v>
                </c:pt>
                <c:pt idx="2">
                  <c:v>2024–2026</c:v>
                </c:pt>
              </c:strCache>
            </c:strRef>
          </c:cat>
          <c:val>
            <c:numRef>
              <c:f>Fig4_Objects!$I$4:$I$6</c:f>
              <c:numCache>
                <c:formatCode>0.0%</c:formatCode>
                <c:ptCount val="3"/>
                <c:pt idx="0">
                  <c:v>0.222222222222222</c:v>
                </c:pt>
                <c:pt idx="1">
                  <c:v>0.171428571428571</c:v>
                </c:pt>
                <c:pt idx="2">
                  <c:v>0.207317073170732</c:v>
                </c:pt>
              </c:numCache>
            </c:numRef>
          </c:val>
          <c:smooth val="0"/>
        </c:ser>
        <c:ser>
          <c:idx val="3"/>
          <c:order val="3"/>
          <c:tx>
            <c:strRef>
              <c:f>Fig4_Objects!J3</c:f>
              <c:strCache>
                <c:ptCount val="1"/>
                <c:pt idx="0">
                  <c:v>Disinformation and post-truth %</c:v>
                </c:pt>
              </c:strCache>
            </c:strRef>
          </c:tx>
          <c:spPr>
            <a:solidFill>
              <a:srgbClr val="d9d9d9"/>
            </a:solidFill>
            <a:ln w="28080">
              <a:solidFill>
                <a:srgbClr val="d9d9d9"/>
              </a:solidFill>
              <a:round/>
            </a:ln>
          </c:spPr>
          <c:marker>
            <c:symbol val="circle"/>
            <c:size val="5"/>
            <c:spPr>
              <a:solidFill>
                <a:srgbClr val="d9d9d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Fig4_Objects!$A$4:$A$6</c:f>
              <c:strCache>
                <c:ptCount val="3"/>
                <c:pt idx="0">
                  <c:v>2016–2019</c:v>
                </c:pt>
                <c:pt idx="1">
                  <c:v>2020–2023</c:v>
                </c:pt>
                <c:pt idx="2">
                  <c:v>2024–2026</c:v>
                </c:pt>
              </c:strCache>
            </c:strRef>
          </c:cat>
          <c:val>
            <c:numRef>
              <c:f>Fig4_Objects!$J$4:$J$6</c:f>
              <c:numCache>
                <c:formatCode>0.0%</c:formatCode>
                <c:ptCount val="3"/>
                <c:pt idx="0">
                  <c:v>0.0555555555555556</c:v>
                </c:pt>
                <c:pt idx="1">
                  <c:v>0.0571428571428571</c:v>
                </c:pt>
                <c:pt idx="2">
                  <c:v>0.0609756097560976</c:v>
                </c:pt>
              </c:numCache>
            </c:numRef>
          </c:val>
          <c:smooth val="0"/>
        </c:ser>
        <c:hiLowLines>
          <c:spPr>
            <a:ln w="0">
              <a:noFill/>
            </a:ln>
          </c:spPr>
        </c:hiLowLines>
        <c:marker val="1"/>
        <c:axId val="73224649"/>
        <c:axId val="66991258"/>
      </c:lineChart>
      <c:catAx>
        <c:axId val="732246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91258"/>
        <c:crosses val="autoZero"/>
        <c:auto val="1"/>
        <c:lblAlgn val="ctr"/>
        <c:lblOffset val="100"/>
        <c:noMultiLvlLbl val="0"/>
      </c:catAx>
      <c:valAx>
        <c:axId val="669912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studies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246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xdr:row>
      <xdr:rowOff>25200</xdr:rowOff>
    </xdr:from>
    <xdr:to>
      <xdr:col>18</xdr:col>
      <xdr:colOff>364680</xdr:colOff>
      <xdr:row>23</xdr:row>
      <xdr:rowOff>26640</xdr:rowOff>
    </xdr:to>
    <xdr:graphicFrame>
      <xdr:nvGraphicFramePr>
        <xdr:cNvPr id="0" name="Chart 1"/>
        <xdr:cNvGraphicFramePr/>
      </xdr:nvGraphicFramePr>
      <xdr:xfrm>
        <a:off x="6532200" y="133344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175680</xdr:rowOff>
    </xdr:from>
    <xdr:to>
      <xdr:col>14</xdr:col>
      <xdr:colOff>147600</xdr:colOff>
      <xdr:row>18</xdr:row>
      <xdr:rowOff>176760</xdr:rowOff>
    </xdr:to>
    <xdr:graphicFrame>
      <xdr:nvGraphicFramePr>
        <xdr:cNvPr id="1" name="Chart 1"/>
        <xdr:cNvGraphicFramePr/>
      </xdr:nvGraphicFramePr>
      <xdr:xfrm>
        <a:off x="5334120" y="380880"/>
        <a:ext cx="50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21</xdr:row>
      <xdr:rowOff>176040</xdr:rowOff>
    </xdr:from>
    <xdr:to>
      <xdr:col>14</xdr:col>
      <xdr:colOff>147600</xdr:colOff>
      <xdr:row>35</xdr:row>
      <xdr:rowOff>28800</xdr:rowOff>
    </xdr:to>
    <xdr:graphicFrame>
      <xdr:nvGraphicFramePr>
        <xdr:cNvPr id="2" name="Chart 2"/>
        <xdr:cNvGraphicFramePr/>
      </xdr:nvGraphicFramePr>
      <xdr:xfrm>
        <a:off x="5334120" y="419112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xdr:row>
      <xdr:rowOff>54360</xdr:rowOff>
    </xdr:from>
    <xdr:to>
      <xdr:col>5</xdr:col>
      <xdr:colOff>896040</xdr:colOff>
      <xdr:row>23</xdr:row>
      <xdr:rowOff>55800</xdr:rowOff>
    </xdr:to>
    <xdr:graphicFrame>
      <xdr:nvGraphicFramePr>
        <xdr:cNvPr id="3" name="Chart 1"/>
        <xdr:cNvGraphicFramePr/>
      </xdr:nvGraphicFramePr>
      <xdr:xfrm>
        <a:off x="0" y="1523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6.15" hidden="false" customHeight="false" outlineLevel="0" collapsed="false">
      <c r="A1" s="1" t="s">
        <v>0</v>
      </c>
    </row>
    <row r="3" customFormat="false" ht="15" hidden="false" customHeight="false" outlineLevel="0" collapsed="false">
      <c r="A3" s="2" t="s">
        <v>1</v>
      </c>
      <c r="B3" s="3" t="s">
        <v>2</v>
      </c>
    </row>
    <row r="4" customFormat="false" ht="26.85" hidden="false" customHeight="false" outlineLevel="0" collapsed="false">
      <c r="A4" s="2" t="s">
        <v>3</v>
      </c>
      <c r="B4" s="3" t="s">
        <v>4</v>
      </c>
    </row>
    <row r="5" customFormat="false" ht="15" hidden="false" customHeight="false" outlineLevel="0" collapsed="false">
      <c r="A5" s="2" t="s">
        <v>5</v>
      </c>
      <c r="B5" s="3" t="s">
        <v>6</v>
      </c>
    </row>
    <row r="6" customFormat="false" ht="26.85" hidden="false" customHeight="false" outlineLevel="0" collapsed="false">
      <c r="A6" s="2" t="s">
        <v>7</v>
      </c>
      <c r="B6" s="3" t="s">
        <v>8</v>
      </c>
    </row>
    <row r="7" customFormat="false" ht="26.8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26.85" hidden="false" customHeight="false" outlineLevel="0" collapsed="false">
      <c r="A10" s="2" t="s">
        <v>15</v>
      </c>
      <c r="B10"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2"/>
  </cols>
  <sheetData>
    <row r="1" customFormat="false" ht="16.15" hidden="false" customHeight="false" outlineLevel="0" collapsed="false">
      <c r="A1" s="1" t="s">
        <v>17</v>
      </c>
    </row>
    <row r="2" customFormat="false" ht="15" hidden="false" customHeight="false" outlineLevel="0" collapsed="false">
      <c r="A2" s="4" t="s">
        <v>18</v>
      </c>
    </row>
    <row r="3" customFormat="false" ht="15" hidden="false" customHeight="false" outlineLevel="0" collapsed="false">
      <c r="A3" s="5" t="s">
        <v>19</v>
      </c>
      <c r="B3" s="5" t="s">
        <v>20</v>
      </c>
    </row>
    <row r="4" customFormat="false" ht="15" hidden="false" customHeight="false" outlineLevel="0" collapsed="false">
      <c r="A4" s="6" t="s">
        <v>21</v>
      </c>
      <c r="B4" s="7" t="n">
        <v>469</v>
      </c>
    </row>
    <row r="5" customFormat="false" ht="15" hidden="false" customHeight="false" outlineLevel="0" collapsed="false">
      <c r="A5" s="6" t="s">
        <v>22</v>
      </c>
      <c r="B5" s="7" t="n">
        <v>0</v>
      </c>
    </row>
    <row r="6" customFormat="false" ht="15" hidden="false" customHeight="false" outlineLevel="0" collapsed="false">
      <c r="A6" s="6" t="s">
        <v>23</v>
      </c>
      <c r="B6" s="7" t="n">
        <v>129</v>
      </c>
    </row>
    <row r="7" customFormat="false" ht="15" hidden="false" customHeight="false" outlineLevel="0" collapsed="false">
      <c r="A7" s="6" t="s">
        <v>24</v>
      </c>
      <c r="B7" s="7" t="n">
        <v>340</v>
      </c>
    </row>
    <row r="8" customFormat="false" ht="15" hidden="false" customHeight="false" outlineLevel="0" collapsed="false">
      <c r="A8" s="6" t="s">
        <v>25</v>
      </c>
      <c r="B8" s="7" t="n">
        <v>135</v>
      </c>
    </row>
    <row r="9" customFormat="false" ht="15" hidden="false" customHeight="false" outlineLevel="0" collapsed="false">
      <c r="A9" s="6" t="s">
        <v>26</v>
      </c>
      <c r="B9" s="7" t="n">
        <v>334</v>
      </c>
    </row>
    <row r="10" customFormat="false" ht="15" hidden="false" customHeight="false" outlineLevel="0" collapsed="false">
      <c r="A10" s="6" t="s">
        <v>27</v>
      </c>
      <c r="B10" s="7" t="n">
        <v>85</v>
      </c>
    </row>
    <row r="11" customFormat="false" ht="15" hidden="false" customHeight="false" outlineLevel="0" collapsed="false">
      <c r="A11" s="6" t="s">
        <v>28</v>
      </c>
      <c r="B11" s="7" t="n">
        <v>290</v>
      </c>
    </row>
    <row r="12" customFormat="false" ht="15" hidden="false" customHeight="false" outlineLevel="0" collapsed="false">
      <c r="A12" s="6" t="s">
        <v>29</v>
      </c>
      <c r="B12" s="7" t="n">
        <v>22</v>
      </c>
    </row>
    <row r="13" customFormat="false" ht="15" hidden="false" customHeight="false" outlineLevel="0" collapsed="false">
      <c r="A13" s="6" t="s">
        <v>30</v>
      </c>
      <c r="B13" s="7" t="n">
        <v>28</v>
      </c>
    </row>
    <row r="14" customFormat="false" ht="15" hidden="false" customHeight="false" outlineLevel="0" collapsed="false">
      <c r="A14" s="6" t="s">
        <v>31</v>
      </c>
      <c r="B14" s="7" t="n">
        <v>38</v>
      </c>
    </row>
    <row r="15" customFormat="false" ht="15" hidden="false" customHeight="false" outlineLevel="0" collapsed="false">
      <c r="A15" s="6" t="s">
        <v>32</v>
      </c>
      <c r="B15" s="7" t="n">
        <v>6</v>
      </c>
    </row>
    <row r="16" customFormat="false" ht="15" hidden="false" customHeight="false" outlineLevel="0" collapsed="false">
      <c r="A16" s="6" t="s">
        <v>33</v>
      </c>
      <c r="B16" s="7" t="n">
        <v>320</v>
      </c>
    </row>
    <row r="17" customFormat="false" ht="15" hidden="false" customHeight="false" outlineLevel="0" collapsed="false">
      <c r="A17" s="6" t="s">
        <v>34</v>
      </c>
      <c r="B17" s="7" t="n">
        <v>12</v>
      </c>
    </row>
    <row r="18" customFormat="false" ht="15" hidden="false" customHeight="false" outlineLevel="0" collapsed="false">
      <c r="A18" s="6" t="s">
        <v>35</v>
      </c>
      <c r="B18" s="7" t="n">
        <v>2</v>
      </c>
    </row>
    <row r="19" customFormat="false" ht="15" hidden="false" customHeight="false" outlineLevel="0" collapsed="false">
      <c r="A19" s="6" t="s">
        <v>36</v>
      </c>
      <c r="B19" s="7" t="n">
        <v>94</v>
      </c>
    </row>
    <row r="20" customFormat="false" ht="15" hidden="false" customHeight="false" outlineLevel="0" collapsed="false">
      <c r="A20" s="6" t="s">
        <v>37</v>
      </c>
      <c r="B20" s="7" t="n">
        <v>75</v>
      </c>
    </row>
    <row r="21" customFormat="false" ht="15" hidden="false" customHeight="false" outlineLevel="0" collapsed="false">
      <c r="A21" s="6" t="s">
        <v>38</v>
      </c>
      <c r="B21" s="7" t="n">
        <v>169</v>
      </c>
    </row>
    <row r="22" customFormat="false" ht="15" hidden="false" customHeight="false" outlineLevel="0" collapsed="false">
      <c r="A22" s="2" t="s">
        <v>39</v>
      </c>
      <c r="B22" s="2" t="n">
        <f aca="false">B10+B12+B13</f>
        <v>135</v>
      </c>
    </row>
    <row r="23" customFormat="false" ht="15" hidden="false" customHeight="false" outlineLevel="0" collapsed="false">
      <c r="A23" s="2" t="s">
        <v>40</v>
      </c>
      <c r="B23" s="2" t="n">
        <f aca="false">B16+B17+B18</f>
        <v>334</v>
      </c>
    </row>
    <row r="24" customFormat="false" ht="15" hidden="false" customHeight="false" outlineLevel="0" collapsed="false">
      <c r="A24" s="6" t="s">
        <v>41</v>
      </c>
      <c r="B24" s="8" t="n">
        <f aca="false">(B10+B11)/B4</f>
        <v>0.799573560767591</v>
      </c>
    </row>
    <row r="25" customFormat="false" ht="15" hidden="false" customHeight="false" outlineLevel="0" collapsed="false">
      <c r="A25" s="6" t="s">
        <v>42</v>
      </c>
      <c r="B25" s="9" t="n">
        <f aca="false">((B10+B11)/B4-((B6*B8+B7*B9)/B4^2))/(1-(B6*B8+B7*B9)/B4^2)</f>
        <v>0.504573753174657</v>
      </c>
    </row>
    <row r="26" customFormat="false" ht="15" hidden="false" customHeight="false" outlineLevel="0" collapsed="false">
      <c r="A26" s="6" t="s">
        <v>43</v>
      </c>
      <c r="B26" s="8" t="n">
        <f aca="false">B21/(B19+B20)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4" min="2" style="0" width="10"/>
    <col collapsed="false" customWidth="true" hidden="false" outlineLevel="0" max="5" min="5" style="0" width="14"/>
    <col collapsed="false" customWidth="true" hidden="false" outlineLevel="0" max="6" min="6" style="0" width="12"/>
    <col collapsed="false" customWidth="true" hidden="false" outlineLevel="0" max="7" min="7" style="0" width="20"/>
  </cols>
  <sheetData>
    <row r="1" customFormat="false" ht="16.15" hidden="false" customHeight="false" outlineLevel="0" collapsed="false">
      <c r="A1" s="1" t="s">
        <v>44</v>
      </c>
    </row>
    <row r="2" customFormat="false" ht="15" hidden="false" customHeight="false" outlineLevel="0" collapsed="false">
      <c r="A2" s="4" t="s">
        <v>45</v>
      </c>
    </row>
    <row r="3" customFormat="false" ht="26.85" hidden="false" customHeight="false" outlineLevel="0" collapsed="false">
      <c r="A3" s="5" t="s">
        <v>46</v>
      </c>
      <c r="B3" s="5" t="s">
        <v>47</v>
      </c>
      <c r="C3" s="5" t="s">
        <v>48</v>
      </c>
      <c r="D3" s="5" t="s">
        <v>49</v>
      </c>
      <c r="E3" s="5" t="s">
        <v>50</v>
      </c>
      <c r="F3" s="2" t="s">
        <v>51</v>
      </c>
      <c r="G3" s="2" t="s">
        <v>52</v>
      </c>
    </row>
    <row r="4" customFormat="false" ht="15" hidden="false" customHeight="false" outlineLevel="0" collapsed="false">
      <c r="A4" s="6" t="s">
        <v>53</v>
      </c>
      <c r="B4" s="7" t="n">
        <v>2</v>
      </c>
      <c r="C4" s="7" t="n">
        <v>0</v>
      </c>
      <c r="D4" s="6" t="n">
        <f aca="false">B4+C4</f>
        <v>2</v>
      </c>
      <c r="E4" s="10" t="n">
        <f aca="false">EXP($F$4+$F$5*(2016-2016))</f>
        <v>3.09654226319077</v>
      </c>
      <c r="F4" s="7" t="n">
        <v>1.13028609</v>
      </c>
      <c r="G4" s="11" t="s">
        <v>54</v>
      </c>
    </row>
    <row r="5" customFormat="false" ht="15" hidden="false" customHeight="false" outlineLevel="0" collapsed="false">
      <c r="A5" s="6" t="s">
        <v>55</v>
      </c>
      <c r="B5" s="7" t="n">
        <v>2</v>
      </c>
      <c r="C5" s="7" t="n">
        <v>0</v>
      </c>
      <c r="D5" s="6" t="n">
        <f aca="false">B5+C5</f>
        <v>2</v>
      </c>
      <c r="E5" s="10" t="n">
        <f aca="false">EXP($F$4+$F$5*(2017-2016))</f>
        <v>3.73593618829536</v>
      </c>
      <c r="F5" s="7" t="n">
        <v>0.18771235</v>
      </c>
      <c r="G5" s="11" t="s">
        <v>56</v>
      </c>
    </row>
    <row r="6" customFormat="false" ht="15" hidden="false" customHeight="false" outlineLevel="0" collapsed="false">
      <c r="A6" s="6" t="s">
        <v>57</v>
      </c>
      <c r="B6" s="7" t="n">
        <v>7</v>
      </c>
      <c r="C6" s="7" t="n">
        <v>0</v>
      </c>
      <c r="D6" s="6" t="n">
        <f aca="false">B6+C6</f>
        <v>7</v>
      </c>
      <c r="E6" s="10" t="n">
        <f aca="false">EXP($F$4+$F$5*(2018-2016))</f>
        <v>4.50735627571669</v>
      </c>
      <c r="F6" s="12" t="n">
        <f aca="false">EXP(F5)-1</f>
        <v>0.206486419612353</v>
      </c>
      <c r="G6" s="11" t="s">
        <v>58</v>
      </c>
    </row>
    <row r="7" customFormat="false" ht="15" hidden="false" customHeight="false" outlineLevel="0" collapsed="false">
      <c r="A7" s="6" t="s">
        <v>59</v>
      </c>
      <c r="B7" s="7" t="n">
        <v>7</v>
      </c>
      <c r="C7" s="7" t="n">
        <v>0</v>
      </c>
      <c r="D7" s="6" t="n">
        <f aca="false">B7+C7</f>
        <v>7</v>
      </c>
      <c r="E7" s="10" t="n">
        <f aca="false">EXP($F$4+$F$5*(2019-2016))</f>
        <v>5.4380641350067</v>
      </c>
    </row>
    <row r="8" customFormat="false" ht="15" hidden="false" customHeight="false" outlineLevel="0" collapsed="false">
      <c r="A8" s="6" t="s">
        <v>60</v>
      </c>
      <c r="B8" s="7" t="n">
        <v>7</v>
      </c>
      <c r="C8" s="7" t="n">
        <v>1</v>
      </c>
      <c r="D8" s="6" t="n">
        <f aca="false">B8+C8</f>
        <v>8</v>
      </c>
      <c r="E8" s="10" t="n">
        <f aca="false">EXP($F$4+$F$5*(2020-2016))</f>
        <v>6.56095052786658</v>
      </c>
    </row>
    <row r="9" customFormat="false" ht="15" hidden="false" customHeight="false" outlineLevel="0" collapsed="false">
      <c r="A9" s="6" t="s">
        <v>61</v>
      </c>
      <c r="B9" s="7" t="n">
        <v>9</v>
      </c>
      <c r="C9" s="7" t="n">
        <v>0</v>
      </c>
      <c r="D9" s="6" t="n">
        <f aca="false">B9+C9</f>
        <v>9</v>
      </c>
      <c r="E9" s="10" t="n">
        <f aca="false">EXP($F$4+$F$5*(2021-2016))</f>
        <v>7.91569771161953</v>
      </c>
    </row>
    <row r="10" customFormat="false" ht="15" hidden="false" customHeight="false" outlineLevel="0" collapsed="false">
      <c r="A10" s="6" t="s">
        <v>62</v>
      </c>
      <c r="B10" s="7" t="n">
        <v>6</v>
      </c>
      <c r="C10" s="7" t="n">
        <v>1</v>
      </c>
      <c r="D10" s="6" t="n">
        <f aca="false">B10+C10</f>
        <v>7</v>
      </c>
      <c r="E10" s="10" t="n">
        <f aca="false">EXP($F$4+$F$5*(2022-2016))</f>
        <v>9.55018179082554</v>
      </c>
    </row>
    <row r="11" customFormat="false" ht="15" hidden="false" customHeight="false" outlineLevel="0" collapsed="false">
      <c r="A11" s="6" t="s">
        <v>63</v>
      </c>
      <c r="B11" s="7" t="n">
        <v>11</v>
      </c>
      <c r="C11" s="7" t="n">
        <v>0</v>
      </c>
      <c r="D11" s="6" t="n">
        <f aca="false">B11+C11</f>
        <v>11</v>
      </c>
      <c r="E11" s="10" t="n">
        <f aca="false">EXP($F$4+$F$5*(2023-2016))</f>
        <v>11.5221646354602</v>
      </c>
    </row>
    <row r="12" customFormat="false" ht="15" hidden="false" customHeight="false" outlineLevel="0" collapsed="false">
      <c r="A12" s="6" t="s">
        <v>64</v>
      </c>
      <c r="B12" s="7" t="n">
        <v>6</v>
      </c>
      <c r="C12" s="7" t="n">
        <v>2</v>
      </c>
      <c r="D12" s="6" t="n">
        <f aca="false">B12+C12</f>
        <v>8</v>
      </c>
      <c r="E12" s="10" t="n">
        <f aca="false">EXP($F$4+$F$5*(2024-2016))</f>
        <v>13.9013351572204</v>
      </c>
    </row>
    <row r="13" customFormat="false" ht="15" hidden="false" customHeight="false" outlineLevel="0" collapsed="false">
      <c r="A13" s="6" t="s">
        <v>65</v>
      </c>
      <c r="B13" s="7" t="n">
        <v>19</v>
      </c>
      <c r="C13" s="7" t="n">
        <v>3</v>
      </c>
      <c r="D13" s="6" t="n">
        <f aca="false">B13+C13</f>
        <v>22</v>
      </c>
      <c r="E13" s="10" t="n">
        <f aca="false">EXP($F$4+$F$5*(2025-2016))</f>
        <v>16.7717720816662</v>
      </c>
    </row>
    <row r="14" customFormat="false" ht="15" hidden="false" customHeight="false" outlineLevel="0" collapsed="false">
      <c r="A14" s="6" t="s">
        <v>66</v>
      </c>
      <c r="B14" s="7" t="n">
        <v>40</v>
      </c>
      <c r="C14" s="7" t="n">
        <v>12</v>
      </c>
      <c r="D14" s="6" t="n">
        <f aca="false">B14+C14</f>
        <v>52</v>
      </c>
    </row>
    <row r="15" customFormat="false" ht="15" hidden="false" customHeight="false" outlineLevel="0" collapsed="false">
      <c r="A15" s="2" t="s">
        <v>49</v>
      </c>
      <c r="B15" s="2" t="n">
        <f aca="false">SUM(B4:B14)</f>
        <v>116</v>
      </c>
      <c r="C15" s="2" t="n">
        <f aca="false">SUM(C4:C14)</f>
        <v>19</v>
      </c>
      <c r="D15" s="2" t="n">
        <f aca="false">SUM(D4:D14)</f>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 collapsed="false" customWidth="true" hidden="false" outlineLevel="0" max="3" min="3" style="0" width="3"/>
    <col collapsed="false" customWidth="true" hidden="false" outlineLevel="0" max="4" min="4" style="0" width="18"/>
    <col collapsed="false" customWidth="true" hidden="false" outlineLevel="0" max="5" min="5" style="0" width="10"/>
  </cols>
  <sheetData>
    <row r="1" customFormat="false" ht="16.15" hidden="false" customHeight="false" outlineLevel="0" collapsed="false">
      <c r="A1" s="1" t="s">
        <v>67</v>
      </c>
    </row>
    <row r="2" customFormat="false" ht="15" hidden="false" customHeight="false" outlineLevel="0" collapsed="false">
      <c r="A2" s="4" t="s">
        <v>68</v>
      </c>
    </row>
    <row r="3" customFormat="false" ht="15" hidden="false" customHeight="false" outlineLevel="0" collapsed="false">
      <c r="A3" s="5" t="s">
        <v>69</v>
      </c>
      <c r="B3" s="5" t="s">
        <v>70</v>
      </c>
      <c r="C3" s="13"/>
      <c r="D3" s="5" t="s">
        <v>71</v>
      </c>
      <c r="E3" s="5" t="s">
        <v>70</v>
      </c>
    </row>
    <row r="4" customFormat="false" ht="15" hidden="false" customHeight="false" outlineLevel="0" collapsed="false">
      <c r="A4" s="6" t="s">
        <v>72</v>
      </c>
      <c r="B4" s="7" t="n">
        <v>32</v>
      </c>
      <c r="D4" s="6" t="s">
        <v>73</v>
      </c>
      <c r="E4" s="7" t="n">
        <v>48</v>
      </c>
    </row>
    <row r="5" customFormat="false" ht="15" hidden="false" customHeight="false" outlineLevel="0" collapsed="false">
      <c r="A5" s="6" t="s">
        <v>74</v>
      </c>
      <c r="B5" s="7" t="n">
        <v>27</v>
      </c>
      <c r="D5" s="6" t="s">
        <v>75</v>
      </c>
      <c r="E5" s="7" t="n">
        <v>40</v>
      </c>
    </row>
    <row r="6" customFormat="false" ht="15" hidden="false" customHeight="false" outlineLevel="0" collapsed="false">
      <c r="A6" s="6" t="s">
        <v>76</v>
      </c>
      <c r="B6" s="7" t="n">
        <v>8</v>
      </c>
      <c r="D6" s="6" t="s">
        <v>77</v>
      </c>
      <c r="E6" s="7" t="n">
        <v>33</v>
      </c>
    </row>
    <row r="7" customFormat="false" ht="15" hidden="false" customHeight="false" outlineLevel="0" collapsed="false">
      <c r="A7" s="6" t="s">
        <v>78</v>
      </c>
      <c r="B7" s="7" t="n">
        <v>8</v>
      </c>
      <c r="D7" s="6" t="s">
        <v>79</v>
      </c>
      <c r="E7" s="7" t="n">
        <v>7</v>
      </c>
    </row>
    <row r="8" customFormat="false" ht="15" hidden="false" customHeight="false" outlineLevel="0" collapsed="false">
      <c r="A8" s="6" t="s">
        <v>80</v>
      </c>
      <c r="B8" s="7" t="n">
        <v>7</v>
      </c>
      <c r="D8" s="6" t="s">
        <v>81</v>
      </c>
      <c r="E8" s="7" t="n">
        <v>5</v>
      </c>
    </row>
    <row r="9" customFormat="false" ht="15" hidden="false" customHeight="false" outlineLevel="0" collapsed="false">
      <c r="A9" s="6" t="s">
        <v>82</v>
      </c>
      <c r="B9" s="7" t="n">
        <v>5</v>
      </c>
      <c r="D9" s="6" t="s">
        <v>83</v>
      </c>
      <c r="E9" s="7" t="n">
        <v>2</v>
      </c>
    </row>
    <row r="10" customFormat="false" ht="15" hidden="false" customHeight="false" outlineLevel="0" collapsed="false">
      <c r="A10" s="6" t="s">
        <v>84</v>
      </c>
      <c r="B10" s="7" t="n">
        <v>4</v>
      </c>
    </row>
    <row r="11" customFormat="false" ht="15" hidden="false" customHeight="false" outlineLevel="0" collapsed="false">
      <c r="A11" s="6" t="s">
        <v>85</v>
      </c>
      <c r="B11" s="7" t="n">
        <v>4</v>
      </c>
    </row>
    <row r="12" customFormat="false" ht="15" hidden="false" customHeight="false" outlineLevel="0" collapsed="false">
      <c r="A12" s="6" t="s">
        <v>86</v>
      </c>
      <c r="B12" s="7" t="n">
        <v>4</v>
      </c>
    </row>
    <row r="13" customFormat="false" ht="15" hidden="false" customHeight="false" outlineLevel="0" collapsed="false">
      <c r="A13" s="6" t="s">
        <v>87</v>
      </c>
      <c r="B13" s="7" t="n">
        <v>3</v>
      </c>
    </row>
    <row r="14" customFormat="false" ht="15" hidden="false" customHeight="false" outlineLevel="0" collapsed="false">
      <c r="A14" s="6" t="s">
        <v>88</v>
      </c>
      <c r="B14" s="7" t="n">
        <v>3</v>
      </c>
    </row>
    <row r="15" customFormat="false" ht="15" hidden="false" customHeight="false" outlineLevel="0" collapsed="false">
      <c r="A15" s="6" t="s">
        <v>89</v>
      </c>
      <c r="B15" s="7" t="n">
        <v>3</v>
      </c>
    </row>
    <row r="16" customFormat="false" ht="15" hidden="false" customHeight="false" outlineLevel="0" collapsed="false">
      <c r="A16" s="6" t="s">
        <v>90</v>
      </c>
      <c r="B16" s="7" t="n">
        <v>2</v>
      </c>
    </row>
    <row r="17" customFormat="false" ht="15" hidden="false" customHeight="false" outlineLevel="0" collapsed="false">
      <c r="A17" s="6" t="s">
        <v>91</v>
      </c>
      <c r="B17" s="7" t="n">
        <v>2</v>
      </c>
    </row>
    <row r="18" customFormat="false" ht="15" hidden="false" customHeight="false" outlineLevel="0" collapsed="false">
      <c r="A18" s="6" t="s">
        <v>92</v>
      </c>
      <c r="B18" s="7" t="n">
        <v>2</v>
      </c>
    </row>
    <row r="19" customFormat="false" ht="15" hidden="false" customHeight="false" outlineLevel="0" collapsed="false">
      <c r="A19" s="6" t="s">
        <v>93</v>
      </c>
      <c r="B19" s="7" t="n">
        <v>2</v>
      </c>
    </row>
    <row r="20" customFormat="false" ht="15" hidden="false" customHeight="false" outlineLevel="0" collapsed="false">
      <c r="A20" s="6" t="s">
        <v>94</v>
      </c>
      <c r="B20" s="7" t="n">
        <v>2</v>
      </c>
    </row>
    <row r="21" customFormat="false" ht="15" hidden="false" customHeight="false" outlineLevel="0" collapsed="false">
      <c r="A21" s="6" t="s">
        <v>95</v>
      </c>
      <c r="B21" s="7" t="n">
        <v>2</v>
      </c>
    </row>
    <row r="22" customFormat="false" ht="15" hidden="false" customHeight="false" outlineLevel="0" collapsed="false">
      <c r="A22" s="6" t="s">
        <v>96</v>
      </c>
      <c r="B22" s="7" t="n">
        <v>1</v>
      </c>
    </row>
    <row r="23" customFormat="false" ht="15" hidden="false" customHeight="false" outlineLevel="0" collapsed="false">
      <c r="A23" s="6" t="s">
        <v>97</v>
      </c>
      <c r="B23" s="7" t="n">
        <v>1</v>
      </c>
    </row>
    <row r="24" customFormat="false" ht="15" hidden="false" customHeight="false" outlineLevel="0" collapsed="false">
      <c r="A24" s="6" t="s">
        <v>98</v>
      </c>
      <c r="B24" s="7" t="n">
        <v>1</v>
      </c>
    </row>
    <row r="25" customFormat="false" ht="15" hidden="false" customHeight="false" outlineLevel="0" collapsed="false">
      <c r="A25" s="6" t="s">
        <v>99</v>
      </c>
      <c r="B25" s="7" t="n">
        <v>1</v>
      </c>
    </row>
    <row r="26" customFormat="false" ht="15" hidden="false" customHeight="false" outlineLevel="0" collapsed="false">
      <c r="A26" s="6" t="s">
        <v>100</v>
      </c>
      <c r="B26" s="7" t="n">
        <v>1</v>
      </c>
    </row>
    <row r="27" customFormat="false" ht="15" hidden="false" customHeight="false" outlineLevel="0" collapsed="false">
      <c r="A27" s="6" t="s">
        <v>101</v>
      </c>
      <c r="B27" s="7" t="n">
        <v>1</v>
      </c>
    </row>
    <row r="28" customFormat="false" ht="15" hidden="false" customHeight="false" outlineLevel="0" collapsed="false">
      <c r="A28" s="6" t="s">
        <v>102</v>
      </c>
      <c r="B28" s="7" t="n">
        <v>1</v>
      </c>
    </row>
    <row r="29" customFormat="false" ht="15" hidden="false" customHeight="false" outlineLevel="0" collapsed="false">
      <c r="A29" s="6" t="s">
        <v>103</v>
      </c>
      <c r="B29" s="7" t="n">
        <v>1</v>
      </c>
    </row>
    <row r="30" customFormat="false" ht="15" hidden="false" customHeight="false" outlineLevel="0" collapsed="false">
      <c r="A30" s="6" t="s">
        <v>104</v>
      </c>
      <c r="B30" s="7" t="n">
        <v>1</v>
      </c>
    </row>
    <row r="31" customFormat="false" ht="15" hidden="false" customHeight="false" outlineLevel="0" collapsed="false">
      <c r="A31" s="6" t="s">
        <v>105</v>
      </c>
      <c r="B31" s="7" t="n">
        <v>1</v>
      </c>
    </row>
    <row r="32" customFormat="false" ht="15" hidden="false" customHeight="false" outlineLevel="0" collapsed="false">
      <c r="A32" s="6" t="s">
        <v>106</v>
      </c>
      <c r="B32" s="7" t="n">
        <v>1</v>
      </c>
    </row>
    <row r="33" customFormat="false" ht="15" hidden="false" customHeight="false" outlineLevel="0" collapsed="false">
      <c r="A33" s="6" t="s">
        <v>107</v>
      </c>
      <c r="B33" s="7" t="n">
        <v>1</v>
      </c>
    </row>
    <row r="34" customFormat="false" ht="15" hidden="false" customHeight="false" outlineLevel="0" collapsed="false">
      <c r="A34" s="6" t="s">
        <v>108</v>
      </c>
      <c r="B34" s="7" t="n">
        <v>1</v>
      </c>
    </row>
    <row r="35" customFormat="false" ht="15" hidden="false" customHeight="false" outlineLevel="0" collapsed="false">
      <c r="A35" s="6" t="s">
        <v>109</v>
      </c>
      <c r="B35" s="7" t="n">
        <v>1</v>
      </c>
    </row>
    <row r="36" customFormat="false" ht="15" hidden="false" customHeight="false" outlineLevel="0" collapsed="false">
      <c r="A36" s="6" t="s">
        <v>110</v>
      </c>
      <c r="B36" s="7" t="n">
        <v>1</v>
      </c>
    </row>
    <row r="37" customFormat="false" ht="15" hidden="false" customHeight="false" outlineLevel="0" collapsed="false">
      <c r="A37" s="6" t="s">
        <v>111</v>
      </c>
      <c r="B37" s="7" t="n">
        <v>1</v>
      </c>
    </row>
    <row r="38" customFormat="false" ht="15" hidden="false" customHeight="false" outlineLevel="0" collapsed="false">
      <c r="A38" s="6" t="s">
        <v>112</v>
      </c>
      <c r="B38" s="7" t="n">
        <v>1</v>
      </c>
    </row>
    <row r="39" customFormat="false" ht="15" hidden="false" customHeight="false" outlineLevel="0" collapsed="false">
      <c r="A39" s="2" t="s">
        <v>113</v>
      </c>
      <c r="B39" s="2" t="n">
        <f aca="false">COUNTA(A4:A38)</f>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10" min="3" style="0" width="16"/>
  </cols>
  <sheetData>
    <row r="1" customFormat="false" ht="16.15" hidden="false" customHeight="false" outlineLevel="0" collapsed="false">
      <c r="A1" s="1" t="s">
        <v>114</v>
      </c>
    </row>
    <row r="2" customFormat="false" ht="15" hidden="false" customHeight="false" outlineLevel="0" collapsed="false">
      <c r="A2" s="4" t="s">
        <v>115</v>
      </c>
    </row>
    <row r="3" customFormat="false" ht="39.55" hidden="false" customHeight="false" outlineLevel="0" collapsed="false">
      <c r="A3" s="5" t="s">
        <v>116</v>
      </c>
      <c r="B3" s="5" t="s">
        <v>70</v>
      </c>
      <c r="C3" s="5" t="s">
        <v>117</v>
      </c>
      <c r="D3" s="5" t="s">
        <v>118</v>
      </c>
      <c r="E3" s="5" t="s">
        <v>119</v>
      </c>
      <c r="F3" s="5" t="s">
        <v>120</v>
      </c>
      <c r="G3" s="5" t="s">
        <v>121</v>
      </c>
      <c r="H3" s="5" t="s">
        <v>122</v>
      </c>
      <c r="I3" s="5" t="s">
        <v>123</v>
      </c>
      <c r="J3" s="5" t="s">
        <v>124</v>
      </c>
    </row>
    <row r="4" customFormat="false" ht="15" hidden="false" customHeight="false" outlineLevel="0" collapsed="false">
      <c r="A4" s="6" t="s">
        <v>125</v>
      </c>
      <c r="B4" s="7" t="n">
        <v>18</v>
      </c>
      <c r="C4" s="7" t="n">
        <v>0</v>
      </c>
      <c r="D4" s="7" t="n">
        <v>1</v>
      </c>
      <c r="E4" s="7" t="n">
        <v>4</v>
      </c>
      <c r="F4" s="7" t="n">
        <v>1</v>
      </c>
      <c r="G4" s="8" t="n">
        <f aca="false">C4/$B4</f>
        <v>0</v>
      </c>
      <c r="H4" s="8" t="n">
        <f aca="false">D4/$B4</f>
        <v>0.0555555555555556</v>
      </c>
      <c r="I4" s="8" t="n">
        <f aca="false">E4/$B4</f>
        <v>0.222222222222222</v>
      </c>
      <c r="J4" s="8" t="n">
        <f aca="false">F4/$B4</f>
        <v>0.0555555555555556</v>
      </c>
    </row>
    <row r="5" customFormat="false" ht="15" hidden="false" customHeight="false" outlineLevel="0" collapsed="false">
      <c r="A5" s="6" t="s">
        <v>126</v>
      </c>
      <c r="B5" s="7" t="n">
        <v>35</v>
      </c>
      <c r="C5" s="7" t="n">
        <v>2</v>
      </c>
      <c r="D5" s="7" t="n">
        <v>6</v>
      </c>
      <c r="E5" s="7" t="n">
        <v>6</v>
      </c>
      <c r="F5" s="7" t="n">
        <v>2</v>
      </c>
      <c r="G5" s="8" t="n">
        <f aca="false">C5/$B5</f>
        <v>0.0571428571428571</v>
      </c>
      <c r="H5" s="8" t="n">
        <f aca="false">D5/$B5</f>
        <v>0.171428571428571</v>
      </c>
      <c r="I5" s="8" t="n">
        <f aca="false">E5/$B5</f>
        <v>0.171428571428571</v>
      </c>
      <c r="J5" s="8" t="n">
        <f aca="false">F5/$B5</f>
        <v>0.0571428571428571</v>
      </c>
    </row>
    <row r="6" customFormat="false" ht="15" hidden="false" customHeight="false" outlineLevel="0" collapsed="false">
      <c r="A6" s="6" t="s">
        <v>127</v>
      </c>
      <c r="B6" s="7" t="n">
        <v>82</v>
      </c>
      <c r="C6" s="7" t="n">
        <v>35</v>
      </c>
      <c r="D6" s="7" t="n">
        <v>26</v>
      </c>
      <c r="E6" s="7" t="n">
        <v>17</v>
      </c>
      <c r="F6" s="7" t="n">
        <v>5</v>
      </c>
      <c r="G6" s="8" t="n">
        <f aca="false">C6/$B6</f>
        <v>0.426829268292683</v>
      </c>
      <c r="H6" s="8" t="n">
        <f aca="false">D6/$B6</f>
        <v>0.317073170731707</v>
      </c>
      <c r="I6" s="8" t="n">
        <f aca="false">E6/$B6</f>
        <v>0.207317073170732</v>
      </c>
      <c r="J6" s="8" t="n">
        <f aca="false">F6/$B6</f>
        <v>0.0609756097560976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
    <col collapsed="false" customWidth="true" hidden="false" outlineLevel="0" max="8" min="3" style="0" width="14"/>
    <col collapsed="false" customWidth="true" hidden="false" outlineLevel="0" max="9" min="9" style="0" width="3"/>
    <col collapsed="false" customWidth="true" hidden="false" outlineLevel="0" max="15" min="10" style="0" width="14"/>
  </cols>
  <sheetData>
    <row r="1" customFormat="false" ht="16.15" hidden="false" customHeight="false" outlineLevel="0" collapsed="false">
      <c r="A1" s="1" t="s">
        <v>128</v>
      </c>
    </row>
    <row r="2" customFormat="false" ht="15" hidden="false" customHeight="false" outlineLevel="0" collapsed="false">
      <c r="A2" s="4" t="s">
        <v>129</v>
      </c>
    </row>
    <row r="3" customFormat="false" ht="52.2" hidden="false" customHeight="false" outlineLevel="0" collapsed="false">
      <c r="A3" s="5" t="s">
        <v>130</v>
      </c>
      <c r="B3" s="5" t="s">
        <v>70</v>
      </c>
      <c r="C3" s="5" t="s">
        <v>131</v>
      </c>
      <c r="D3" s="5" t="s">
        <v>132</v>
      </c>
      <c r="E3" s="5" t="s">
        <v>133</v>
      </c>
      <c r="F3" s="5" t="s">
        <v>134</v>
      </c>
      <c r="G3" s="5" t="s">
        <v>135</v>
      </c>
      <c r="H3" s="5" t="s">
        <v>136</v>
      </c>
      <c r="I3" s="13"/>
      <c r="J3" s="5" t="s">
        <v>121</v>
      </c>
      <c r="K3" s="5" t="s">
        <v>122</v>
      </c>
      <c r="L3" s="5" t="s">
        <v>123</v>
      </c>
      <c r="M3" s="5" t="s">
        <v>124</v>
      </c>
      <c r="N3" s="5" t="s">
        <v>137</v>
      </c>
      <c r="O3" s="5" t="s">
        <v>138</v>
      </c>
    </row>
    <row r="4" customFormat="false" ht="15" hidden="false" customHeight="false" outlineLevel="0" collapsed="false">
      <c r="A4" s="6" t="s">
        <v>139</v>
      </c>
      <c r="B4" s="7" t="n">
        <v>16</v>
      </c>
      <c r="C4" s="7" t="n">
        <v>4</v>
      </c>
      <c r="D4" s="7" t="n">
        <v>5</v>
      </c>
      <c r="E4" s="7" t="n">
        <v>3</v>
      </c>
      <c r="F4" s="7" t="n">
        <v>0</v>
      </c>
      <c r="G4" s="7" t="n">
        <v>1</v>
      </c>
      <c r="H4" s="7" t="n">
        <v>0</v>
      </c>
      <c r="J4" s="14" t="n">
        <f aca="false">C4/$B4</f>
        <v>0.25</v>
      </c>
      <c r="K4" s="14" t="n">
        <f aca="false">D4/$B4</f>
        <v>0.3125</v>
      </c>
      <c r="L4" s="14" t="n">
        <f aca="false">E4/$B4</f>
        <v>0.1875</v>
      </c>
      <c r="M4" s="14" t="n">
        <f aca="false">F4/$B4</f>
        <v>0</v>
      </c>
      <c r="N4" s="14" t="n">
        <f aca="false">G4/$B4</f>
        <v>0.0625</v>
      </c>
      <c r="O4" s="14" t="n">
        <f aca="false">H4/$B4</f>
        <v>0</v>
      </c>
    </row>
    <row r="5" customFormat="false" ht="15" hidden="false" customHeight="false" outlineLevel="0" collapsed="false">
      <c r="A5" s="6" t="s">
        <v>140</v>
      </c>
      <c r="B5" s="7" t="n">
        <v>30</v>
      </c>
      <c r="C5" s="7" t="n">
        <v>6</v>
      </c>
      <c r="D5" s="7" t="n">
        <v>6</v>
      </c>
      <c r="E5" s="7" t="n">
        <v>7</v>
      </c>
      <c r="F5" s="7" t="n">
        <v>1</v>
      </c>
      <c r="G5" s="7" t="n">
        <v>0</v>
      </c>
      <c r="H5" s="7" t="n">
        <v>1</v>
      </c>
      <c r="J5" s="14" t="n">
        <f aca="false">C5/$B5</f>
        <v>0.2</v>
      </c>
      <c r="K5" s="14" t="n">
        <f aca="false">D5/$B5</f>
        <v>0.2</v>
      </c>
      <c r="L5" s="14" t="n">
        <f aca="false">E5/$B5</f>
        <v>0.233333333333333</v>
      </c>
      <c r="M5" s="14" t="n">
        <f aca="false">F5/$B5</f>
        <v>0.0333333333333333</v>
      </c>
      <c r="N5" s="14" t="n">
        <f aca="false">G5/$B5</f>
        <v>0</v>
      </c>
      <c r="O5" s="14" t="n">
        <f aca="false">H5/$B5</f>
        <v>0.0333333333333333</v>
      </c>
    </row>
    <row r="6" customFormat="false" ht="15" hidden="false" customHeight="false" outlineLevel="0" collapsed="false">
      <c r="A6" s="6" t="s">
        <v>141</v>
      </c>
      <c r="B6" s="7" t="n">
        <v>25</v>
      </c>
      <c r="C6" s="7" t="n">
        <v>4</v>
      </c>
      <c r="D6" s="7" t="n">
        <v>6</v>
      </c>
      <c r="E6" s="7" t="n">
        <v>6</v>
      </c>
      <c r="F6" s="7" t="n">
        <v>2</v>
      </c>
      <c r="G6" s="7" t="n">
        <v>0</v>
      </c>
      <c r="H6" s="7" t="n">
        <v>2</v>
      </c>
      <c r="J6" s="14" t="n">
        <f aca="false">C6/$B6</f>
        <v>0.16</v>
      </c>
      <c r="K6" s="14" t="n">
        <f aca="false">D6/$B6</f>
        <v>0.24</v>
      </c>
      <c r="L6" s="14" t="n">
        <f aca="false">E6/$B6</f>
        <v>0.24</v>
      </c>
      <c r="M6" s="14" t="n">
        <f aca="false">F6/$B6</f>
        <v>0.08</v>
      </c>
      <c r="N6" s="14" t="n">
        <f aca="false">G6/$B6</f>
        <v>0</v>
      </c>
      <c r="O6" s="14" t="n">
        <f aca="false">H6/$B6</f>
        <v>0.08</v>
      </c>
    </row>
    <row r="7" customFormat="false" ht="15" hidden="false" customHeight="false" outlineLevel="0" collapsed="false">
      <c r="A7" s="6" t="s">
        <v>142</v>
      </c>
      <c r="B7" s="7" t="n">
        <v>21</v>
      </c>
      <c r="C7" s="7" t="n">
        <v>3</v>
      </c>
      <c r="D7" s="7" t="n">
        <v>8</v>
      </c>
      <c r="E7" s="7" t="n">
        <v>3</v>
      </c>
      <c r="F7" s="7" t="n">
        <v>1</v>
      </c>
      <c r="G7" s="7" t="n">
        <v>0</v>
      </c>
      <c r="H7" s="7" t="n">
        <v>1</v>
      </c>
      <c r="J7" s="14" t="n">
        <f aca="false">C7/$B7</f>
        <v>0.142857142857143</v>
      </c>
      <c r="K7" s="14" t="n">
        <f aca="false">D7/$B7</f>
        <v>0.380952380952381</v>
      </c>
      <c r="L7" s="14" t="n">
        <f aca="false">E7/$B7</f>
        <v>0.142857142857143</v>
      </c>
      <c r="M7" s="14" t="n">
        <f aca="false">F7/$B7</f>
        <v>0.0476190476190476</v>
      </c>
      <c r="N7" s="14" t="n">
        <f aca="false">G7/$B7</f>
        <v>0</v>
      </c>
      <c r="O7" s="14" t="n">
        <f aca="false">H7/$B7</f>
        <v>0.0476190476190476</v>
      </c>
    </row>
    <row r="8" customFormat="false" ht="15" hidden="false" customHeight="false" outlineLevel="0" collapsed="false">
      <c r="A8" s="6" t="s">
        <v>143</v>
      </c>
      <c r="B8" s="7" t="n">
        <v>20</v>
      </c>
      <c r="C8" s="7" t="n">
        <v>7</v>
      </c>
      <c r="D8" s="7" t="n">
        <v>8</v>
      </c>
      <c r="E8" s="7" t="n">
        <v>4</v>
      </c>
      <c r="F8" s="7" t="n">
        <v>1</v>
      </c>
      <c r="G8" s="7" t="n">
        <v>2</v>
      </c>
      <c r="H8" s="7" t="n">
        <v>0</v>
      </c>
      <c r="J8" s="14" t="n">
        <f aca="false">C8/$B8</f>
        <v>0.35</v>
      </c>
      <c r="K8" s="14" t="n">
        <f aca="false">D8/$B8</f>
        <v>0.4</v>
      </c>
      <c r="L8" s="14" t="n">
        <f aca="false">E8/$B8</f>
        <v>0.2</v>
      </c>
      <c r="M8" s="14" t="n">
        <f aca="false">F8/$B8</f>
        <v>0.05</v>
      </c>
      <c r="N8" s="14" t="n">
        <f aca="false">G8/$B8</f>
        <v>0.1</v>
      </c>
      <c r="O8" s="14" t="n">
        <f aca="false">H8/$B8</f>
        <v>0</v>
      </c>
    </row>
  </sheetData>
  <conditionalFormatting sqref="J4:O8">
    <cfRule type="colorScale" priority="2">
      <colorScale>
        <cfvo type="num" val="0"/>
        <cfvo type="num" val="0.4"/>
        <color rgb="FFFFFFFF"/>
        <color rgb="FF2F75B5"/>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55"/>
  </cols>
  <sheetData>
    <row r="1" customFormat="false" ht="16.15" hidden="false" customHeight="false" outlineLevel="0" collapsed="false">
      <c r="A1" s="1" t="s">
        <v>144</v>
      </c>
    </row>
    <row r="3" customFormat="false" ht="15" hidden="false" customHeight="false" outlineLevel="0" collapsed="false">
      <c r="A3" s="5" t="s">
        <v>145</v>
      </c>
      <c r="B3" s="5" t="s">
        <v>146</v>
      </c>
      <c r="C3" s="5" t="s">
        <v>147</v>
      </c>
    </row>
    <row r="4" customFormat="false" ht="26.85" hidden="false" customHeight="false" outlineLevel="0" collapsed="false">
      <c r="A4" s="15" t="s">
        <v>148</v>
      </c>
      <c r="B4" s="15" t="s">
        <v>149</v>
      </c>
      <c r="C4" s="15" t="s">
        <v>150</v>
      </c>
    </row>
    <row r="5" customFormat="false" ht="26.85" hidden="false" customHeight="false" outlineLevel="0" collapsed="false">
      <c r="A5" s="15" t="s">
        <v>151</v>
      </c>
      <c r="B5" s="15" t="s">
        <v>152</v>
      </c>
      <c r="C5" s="15" t="s">
        <v>153</v>
      </c>
    </row>
    <row r="6" customFormat="false" ht="15" hidden="false" customHeight="false" outlineLevel="0" collapsed="false">
      <c r="A6" s="15" t="s">
        <v>1</v>
      </c>
      <c r="B6" s="15" t="s">
        <v>154</v>
      </c>
      <c r="C6" s="15" t="s">
        <v>155</v>
      </c>
    </row>
    <row r="7" customFormat="false" ht="15" hidden="false" customHeight="false" outlineLevel="0" collapsed="false">
      <c r="A7" s="15" t="s">
        <v>156</v>
      </c>
      <c r="B7" s="15" t="s">
        <v>157</v>
      </c>
      <c r="C7" s="15"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3" min="2" style="0" width="16"/>
    <col collapsed="false" customWidth="true" hidden="false" outlineLevel="0" max="4" min="4" style="0" width="10"/>
  </cols>
  <sheetData>
    <row r="1" customFormat="false" ht="16.15" hidden="false" customHeight="false" outlineLevel="0" collapsed="false">
      <c r="A1" s="1" t="s">
        <v>159</v>
      </c>
    </row>
    <row r="3" customFormat="false" ht="26.85" hidden="false" customHeight="false" outlineLevel="0" collapsed="false">
      <c r="A3" s="5"/>
      <c r="B3" s="5" t="s">
        <v>160</v>
      </c>
      <c r="C3" s="5" t="s">
        <v>161</v>
      </c>
      <c r="D3" s="5" t="s">
        <v>49</v>
      </c>
    </row>
    <row r="4" customFormat="false" ht="15" hidden="false" customHeight="false" outlineLevel="0" collapsed="false">
      <c r="A4" s="0" t="s">
        <v>162</v>
      </c>
      <c r="B4" s="7" t="n">
        <v>85</v>
      </c>
      <c r="C4" s="7" t="n">
        <v>44</v>
      </c>
      <c r="D4" s="11" t="n">
        <f aca="false">B4+C4</f>
        <v>129</v>
      </c>
    </row>
    <row r="5" customFormat="false" ht="15" hidden="false" customHeight="false" outlineLevel="0" collapsed="false">
      <c r="A5" s="0" t="s">
        <v>163</v>
      </c>
      <c r="B5" s="7" t="n">
        <v>50</v>
      </c>
      <c r="C5" s="7" t="n">
        <v>290</v>
      </c>
      <c r="D5" s="11" t="n">
        <f aca="false">B5+C5</f>
        <v>340</v>
      </c>
    </row>
    <row r="6" customFormat="false" ht="15" hidden="false" customHeight="false" outlineLevel="0" collapsed="false">
      <c r="A6" s="0" t="s">
        <v>49</v>
      </c>
      <c r="B6" s="2" t="n">
        <f aca="false">B4+B5</f>
        <v>135</v>
      </c>
      <c r="C6" s="2" t="n">
        <f aca="false">C4+C5</f>
        <v>334</v>
      </c>
      <c r="D6" s="2" t="n">
        <f aca="false">D4+D5</f>
        <v>469</v>
      </c>
    </row>
    <row r="8" customFormat="false" ht="15" hidden="false" customHeight="false" outlineLevel="0" collapsed="false">
      <c r="A8" s="0" t="s">
        <v>164</v>
      </c>
      <c r="B8" s="12" t="n">
        <f aca="false">(B4+C5)/D6</f>
        <v>0.799573560767591</v>
      </c>
    </row>
    <row r="9" customFormat="false" ht="15" hidden="false" customHeight="false" outlineLevel="0" collapsed="false">
      <c r="A9" s="0" t="s">
        <v>42</v>
      </c>
      <c r="B9" s="16" t="n">
        <f aca="false">(B8-((D4*B6+D5*C6)/D6^2))/(1-(D4*B6+D5*C6)/D6^2)</f>
        <v>0.504573753174657</v>
      </c>
    </row>
    <row r="11" customFormat="false" ht="15" hidden="false" customHeight="false" outlineLevel="0" collapsed="false">
      <c r="A11" s="5" t="s">
        <v>165</v>
      </c>
      <c r="B11" s="5" t="s">
        <v>20</v>
      </c>
      <c r="C11" s="5" t="s">
        <v>166</v>
      </c>
    </row>
    <row r="12" customFormat="false" ht="15" hidden="false" customHeight="false" outlineLevel="0" collapsed="false">
      <c r="A12" s="6" t="s">
        <v>167</v>
      </c>
      <c r="B12" s="7" t="n">
        <v>85</v>
      </c>
      <c r="C12" s="6" t="s">
        <v>146</v>
      </c>
    </row>
    <row r="13" customFormat="false" ht="15" hidden="false" customHeight="false" outlineLevel="0" collapsed="false">
      <c r="A13" s="6" t="s">
        <v>168</v>
      </c>
      <c r="B13" s="7" t="n">
        <v>290</v>
      </c>
      <c r="C13" s="6" t="s">
        <v>147</v>
      </c>
    </row>
    <row r="14" customFormat="false" ht="15" hidden="false" customHeight="false" outlineLevel="0" collapsed="false">
      <c r="A14" s="6" t="s">
        <v>169</v>
      </c>
      <c r="B14" s="7" t="n">
        <v>22</v>
      </c>
      <c r="C14" s="6" t="s">
        <v>146</v>
      </c>
    </row>
    <row r="15" customFormat="false" ht="15" hidden="false" customHeight="false" outlineLevel="0" collapsed="false">
      <c r="A15" s="6" t="s">
        <v>170</v>
      </c>
      <c r="B15" s="7" t="n">
        <v>28</v>
      </c>
      <c r="C15" s="6" t="s">
        <v>146</v>
      </c>
    </row>
    <row r="16" customFormat="false" ht="15" hidden="false" customHeight="false" outlineLevel="0" collapsed="false">
      <c r="A16" s="6" t="s">
        <v>171</v>
      </c>
      <c r="B16" s="7" t="n">
        <v>38</v>
      </c>
      <c r="C16" s="6" t="s">
        <v>147</v>
      </c>
    </row>
    <row r="17" customFormat="false" ht="15" hidden="false" customHeight="false" outlineLevel="0" collapsed="false">
      <c r="A17" s="6" t="s">
        <v>172</v>
      </c>
      <c r="B17" s="7" t="n">
        <v>6</v>
      </c>
      <c r="C17" s="6" t="s">
        <v>147</v>
      </c>
    </row>
    <row r="18" customFormat="false" ht="15" hidden="false" customHeight="false" outlineLevel="0" collapsed="false">
      <c r="A18" s="2" t="s">
        <v>146</v>
      </c>
      <c r="B18" s="11" t="n">
        <f aca="false">SUMIF(C12:C17,"Included",B12:B17)</f>
        <v>135</v>
      </c>
    </row>
    <row r="19" customFormat="false" ht="15" hidden="false" customHeight="false" outlineLevel="0" collapsed="false">
      <c r="A19" s="2" t="s">
        <v>147</v>
      </c>
      <c r="B19" s="11" t="n">
        <f aca="false">SUMIF(C12:C17,"Excluded",B12:B17)</f>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1" min="2" style="0" width="11"/>
  </cols>
  <sheetData>
    <row r="1" customFormat="false" ht="16.15" hidden="false" customHeight="false" outlineLevel="0" collapsed="false">
      <c r="A1" s="1" t="s">
        <v>173</v>
      </c>
    </row>
    <row r="2" customFormat="false" ht="15" hidden="false" customHeight="false" outlineLevel="0" collapsed="false">
      <c r="A2" s="4" t="s">
        <v>174</v>
      </c>
    </row>
    <row r="3" customFormat="false" ht="26.85" hidden="false" customHeight="false" outlineLevel="0" collapsed="false">
      <c r="A3" s="5" t="s">
        <v>175</v>
      </c>
      <c r="B3" s="5" t="s">
        <v>176</v>
      </c>
      <c r="C3" s="5" t="s">
        <v>177</v>
      </c>
      <c r="D3" s="5" t="s">
        <v>178</v>
      </c>
      <c r="E3" s="5" t="s">
        <v>177</v>
      </c>
      <c r="F3" s="5" t="s">
        <v>179</v>
      </c>
      <c r="G3" s="5" t="s">
        <v>177</v>
      </c>
      <c r="H3" s="5" t="s">
        <v>180</v>
      </c>
      <c r="I3" s="5" t="s">
        <v>177</v>
      </c>
      <c r="J3" s="5" t="s">
        <v>181</v>
      </c>
      <c r="K3" s="5" t="s">
        <v>182</v>
      </c>
    </row>
    <row r="4" customFormat="false" ht="15" hidden="false" customHeight="false" outlineLevel="0" collapsed="false">
      <c r="A4" s="2" t="s">
        <v>183</v>
      </c>
      <c r="B4" s="7" t="n">
        <v>18</v>
      </c>
      <c r="D4" s="7" t="n">
        <v>35</v>
      </c>
      <c r="F4" s="7" t="n">
        <v>82</v>
      </c>
      <c r="H4" s="2" t="n">
        <f aca="false">B4+D4+F4</f>
        <v>135</v>
      </c>
    </row>
    <row r="5" customFormat="false" ht="15" hidden="false" customHeight="false" outlineLevel="0" collapsed="false">
      <c r="A5" s="2" t="s">
        <v>184</v>
      </c>
    </row>
    <row r="6" customFormat="false" ht="15" hidden="false" customHeight="false" outlineLevel="0" collapsed="false">
      <c r="A6" s="6" t="s">
        <v>185</v>
      </c>
      <c r="B6" s="6" t="n">
        <v>2</v>
      </c>
      <c r="C6" s="8" t="n">
        <f aca="false">B6/B$4</f>
        <v>0.111111111111111</v>
      </c>
      <c r="D6" s="6" t="n">
        <v>3</v>
      </c>
      <c r="E6" s="8" t="n">
        <f aca="false">D6/D$4</f>
        <v>0.0857142857142857</v>
      </c>
      <c r="F6" s="6" t="n">
        <v>5</v>
      </c>
      <c r="G6" s="8" t="n">
        <f aca="false">F6/F$4</f>
        <v>0.0609756097560976</v>
      </c>
      <c r="H6" s="6" t="n">
        <f aca="false">B6+D6+F6</f>
        <v>10</v>
      </c>
      <c r="I6" s="8" t="n">
        <f aca="false">H6/H$4</f>
        <v>0.0740740740740741</v>
      </c>
      <c r="J6" s="17" t="n">
        <v>-0.7964</v>
      </c>
      <c r="K6" s="18" t="n">
        <v>0.4258</v>
      </c>
    </row>
    <row r="7" customFormat="false" ht="15" hidden="false" customHeight="false" outlineLevel="0" collapsed="false">
      <c r="A7" s="6" t="s">
        <v>186</v>
      </c>
      <c r="B7" s="6" t="n">
        <v>8</v>
      </c>
      <c r="C7" s="8" t="n">
        <f aca="false">B7/B$4</f>
        <v>0.444444444444444</v>
      </c>
      <c r="D7" s="6" t="n">
        <v>7</v>
      </c>
      <c r="E7" s="8" t="n">
        <f aca="false">D7/D$4</f>
        <v>0.2</v>
      </c>
      <c r="F7" s="6" t="n">
        <v>14</v>
      </c>
      <c r="G7" s="8" t="n">
        <f aca="false">F7/F$4</f>
        <v>0.170731707317073</v>
      </c>
      <c r="H7" s="6" t="n">
        <f aca="false">B7+D7+F7</f>
        <v>29</v>
      </c>
      <c r="I7" s="8" t="n">
        <f aca="false">H7/H$4</f>
        <v>0.214814814814815</v>
      </c>
      <c r="J7" s="17" t="n">
        <v>-2.2604</v>
      </c>
      <c r="K7" s="18" t="n">
        <v>0.0238</v>
      </c>
    </row>
    <row r="8" customFormat="false" ht="15" hidden="false" customHeight="false" outlineLevel="0" collapsed="false">
      <c r="A8" s="6" t="s">
        <v>187</v>
      </c>
      <c r="B8" s="6" t="n">
        <v>6</v>
      </c>
      <c r="C8" s="8" t="n">
        <f aca="false">B8/B$4</f>
        <v>0.333333333333333</v>
      </c>
      <c r="D8" s="6" t="n">
        <v>11</v>
      </c>
      <c r="E8" s="8" t="n">
        <f aca="false">D8/D$4</f>
        <v>0.314285714285714</v>
      </c>
      <c r="F8" s="6" t="n">
        <v>38</v>
      </c>
      <c r="G8" s="8" t="n">
        <f aca="false">F8/F$4</f>
        <v>0.463414634146342</v>
      </c>
      <c r="H8" s="6" t="n">
        <f aca="false">B8+D8+F8</f>
        <v>55</v>
      </c>
      <c r="I8" s="8" t="n">
        <f aca="false">H8/H$4</f>
        <v>0.407407407407407</v>
      </c>
      <c r="J8" s="17" t="n">
        <v>1.445</v>
      </c>
      <c r="K8" s="18" t="n">
        <v>0.1485</v>
      </c>
    </row>
    <row r="9" customFormat="false" ht="15" hidden="false" customHeight="false" outlineLevel="0" collapsed="false">
      <c r="A9" s="6" t="s">
        <v>188</v>
      </c>
      <c r="B9" s="6" t="n">
        <v>5</v>
      </c>
      <c r="C9" s="8" t="n">
        <f aca="false">B9/B$4</f>
        <v>0.277777777777778</v>
      </c>
      <c r="D9" s="6" t="n">
        <v>14</v>
      </c>
      <c r="E9" s="8" t="n">
        <f aca="false">D9/D$4</f>
        <v>0.4</v>
      </c>
      <c r="F9" s="6" t="n">
        <v>20</v>
      </c>
      <c r="G9" s="8" t="n">
        <f aca="false">F9/F$4</f>
        <v>0.24390243902439</v>
      </c>
      <c r="H9" s="6" t="n">
        <f aca="false">B9+D9+F9</f>
        <v>39</v>
      </c>
      <c r="I9" s="8" t="n">
        <f aca="false">H9/H$4</f>
        <v>0.288888888888889</v>
      </c>
      <c r="J9" s="17" t="n">
        <v>-0.9223</v>
      </c>
      <c r="K9" s="18" t="n">
        <v>0.3564</v>
      </c>
    </row>
    <row r="10" customFormat="false" ht="15" hidden="false" customHeight="false" outlineLevel="0" collapsed="false">
      <c r="A10" s="2" t="s">
        <v>189</v>
      </c>
    </row>
    <row r="11" customFormat="false" ht="15" hidden="false" customHeight="false" outlineLevel="0" collapsed="false">
      <c r="A11" s="6" t="s">
        <v>190</v>
      </c>
      <c r="B11" s="6" t="n">
        <v>6</v>
      </c>
      <c r="C11" s="8" t="n">
        <f aca="false">B11/B$4</f>
        <v>0.333333333333333</v>
      </c>
      <c r="D11" s="6" t="n">
        <v>9</v>
      </c>
      <c r="E11" s="8" t="n">
        <f aca="false">D11/D$4</f>
        <v>0.257142857142857</v>
      </c>
      <c r="F11" s="6" t="n">
        <v>48</v>
      </c>
      <c r="G11" s="8" t="n">
        <f aca="false">F11/F$4</f>
        <v>0.585365853658537</v>
      </c>
      <c r="H11" s="6" t="n">
        <f aca="false">B11+D11+F11</f>
        <v>63</v>
      </c>
      <c r="I11" s="8" t="n">
        <f aca="false">H11/H$4</f>
        <v>0.466666666666667</v>
      </c>
      <c r="J11" s="17" t="n">
        <v>2.914</v>
      </c>
      <c r="K11" s="18" t="n">
        <v>0.0036</v>
      </c>
    </row>
    <row r="12" customFormat="false" ht="15" hidden="false" customHeight="false" outlineLevel="0" collapsed="false">
      <c r="A12" s="6" t="s">
        <v>191</v>
      </c>
      <c r="B12" s="6" t="n">
        <v>1</v>
      </c>
      <c r="C12" s="8" t="n">
        <f aca="false">B12/B$4</f>
        <v>0.0555555555555556</v>
      </c>
      <c r="D12" s="6" t="n">
        <v>7</v>
      </c>
      <c r="E12" s="8" t="n">
        <f aca="false">D12/D$4</f>
        <v>0.2</v>
      </c>
      <c r="F12" s="6" t="n">
        <v>23</v>
      </c>
      <c r="G12" s="8" t="n">
        <f aca="false">F12/F$4</f>
        <v>0.280487804878049</v>
      </c>
      <c r="H12" s="6" t="n">
        <f aca="false">B12+D12+F12</f>
        <v>31</v>
      </c>
      <c r="I12" s="8" t="n">
        <f aca="false">H12/H$4</f>
        <v>0.22962962962963</v>
      </c>
      <c r="J12" s="17" t="n">
        <v>2.0806</v>
      </c>
      <c r="K12" s="18" t="n">
        <v>0.0375</v>
      </c>
    </row>
    <row r="13" customFormat="false" ht="15" hidden="false" customHeight="false" outlineLevel="0" collapsed="false">
      <c r="A13" s="6" t="s">
        <v>192</v>
      </c>
      <c r="B13" s="6" t="n">
        <v>3</v>
      </c>
      <c r="C13" s="8" t="n">
        <f aca="false">B13/B$4</f>
        <v>0.166666666666667</v>
      </c>
      <c r="D13" s="6" t="n">
        <v>6</v>
      </c>
      <c r="E13" s="8" t="n">
        <f aca="false">D13/D$4</f>
        <v>0.171428571428571</v>
      </c>
      <c r="F13" s="6" t="n">
        <v>18</v>
      </c>
      <c r="G13" s="8" t="n">
        <f aca="false">F13/F$4</f>
        <v>0.219512195121951</v>
      </c>
      <c r="H13" s="6" t="n">
        <f aca="false">B13+D13+F13</f>
        <v>27</v>
      </c>
      <c r="I13" s="8" t="n">
        <f aca="false">H13/H$4</f>
        <v>0.2</v>
      </c>
      <c r="J13" s="17" t="n">
        <v>0.659</v>
      </c>
      <c r="K13" s="18" t="n">
        <v>0.5099</v>
      </c>
    </row>
    <row r="14" customFormat="false" ht="15" hidden="false" customHeight="false" outlineLevel="0" collapsed="false">
      <c r="A14" s="6" t="s">
        <v>193</v>
      </c>
      <c r="B14" s="6" t="n">
        <v>4</v>
      </c>
      <c r="C14" s="8" t="n">
        <f aca="false">B14/B$4</f>
        <v>0.222222222222222</v>
      </c>
      <c r="D14" s="6" t="n">
        <v>9</v>
      </c>
      <c r="E14" s="8" t="n">
        <f aca="false">D14/D$4</f>
        <v>0.257142857142857</v>
      </c>
      <c r="F14" s="6" t="n">
        <v>13</v>
      </c>
      <c r="G14" s="8" t="n">
        <f aca="false">F14/F$4</f>
        <v>0.158536585365854</v>
      </c>
      <c r="H14" s="6" t="n">
        <f aca="false">B14+D14+F14</f>
        <v>26</v>
      </c>
      <c r="I14" s="8" t="n">
        <f aca="false">H14/H$4</f>
        <v>0.192592592592593</v>
      </c>
      <c r="J14" s="17" t="n">
        <v>-1.0105</v>
      </c>
      <c r="K14" s="18" t="n">
        <v>0.3122</v>
      </c>
    </row>
    <row r="15" customFormat="false" ht="15" hidden="false" customHeight="false" outlineLevel="0" collapsed="false">
      <c r="A15" s="6" t="s">
        <v>194</v>
      </c>
      <c r="B15" s="6" t="n">
        <v>0</v>
      </c>
      <c r="C15" s="8" t="n">
        <f aca="false">B15/B$4</f>
        <v>0</v>
      </c>
      <c r="D15" s="6" t="n">
        <v>1</v>
      </c>
      <c r="E15" s="8" t="n">
        <f aca="false">D15/D$4</f>
        <v>0.0285714285714286</v>
      </c>
      <c r="F15" s="6" t="n">
        <v>11</v>
      </c>
      <c r="G15" s="8" t="n">
        <f aca="false">F15/F$4</f>
        <v>0.134146341463415</v>
      </c>
      <c r="H15" s="6" t="n">
        <f aca="false">B15+D15+F15</f>
        <v>12</v>
      </c>
      <c r="I15" s="8" t="n">
        <f aca="false">H15/H$4</f>
        <v>0.0888888888888889</v>
      </c>
      <c r="J15" s="17" t="n">
        <v>2.2361</v>
      </c>
      <c r="K15" s="18" t="n">
        <v>0.0253</v>
      </c>
    </row>
    <row r="16" customFormat="false" ht="15" hidden="false" customHeight="false" outlineLevel="0" collapsed="false">
      <c r="A16" s="2" t="s">
        <v>195</v>
      </c>
    </row>
    <row r="17" customFormat="false" ht="15" hidden="false" customHeight="false" outlineLevel="0" collapsed="false">
      <c r="A17" s="6" t="s">
        <v>48</v>
      </c>
      <c r="B17" s="6" t="n">
        <v>0</v>
      </c>
      <c r="C17" s="8" t="n">
        <f aca="false">B17/B$4</f>
        <v>0</v>
      </c>
      <c r="D17" s="6" t="n">
        <v>2</v>
      </c>
      <c r="E17" s="8" t="n">
        <f aca="false">D17/D$4</f>
        <v>0.0571428571428571</v>
      </c>
      <c r="F17" s="6" t="n">
        <v>17</v>
      </c>
      <c r="G17" s="8" t="n">
        <f aca="false">F17/F$4</f>
        <v>0.207317073170732</v>
      </c>
      <c r="H17" s="6" t="n">
        <f aca="false">B17+D17+F17</f>
        <v>19</v>
      </c>
      <c r="I17" s="8" t="n">
        <f aca="false">H17/H$4</f>
        <v>0.140740740740741</v>
      </c>
      <c r="J17" s="17" t="n">
        <v>2.7538</v>
      </c>
      <c r="K17" s="18" t="n">
        <v>0.0059</v>
      </c>
    </row>
    <row r="19" customFormat="false" ht="15" hidden="false" customHeight="false" outlineLevel="0" collapsed="false">
      <c r="A19" s="4"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1" min="2" style="0" width="11"/>
  </cols>
  <sheetData>
    <row r="1" customFormat="false" ht="16.15" hidden="false" customHeight="false" outlineLevel="0" collapsed="false">
      <c r="A1" s="1" t="s">
        <v>197</v>
      </c>
    </row>
    <row r="2" customFormat="false" ht="15" hidden="false" customHeight="false" outlineLevel="0" collapsed="false">
      <c r="A2" s="4" t="s">
        <v>198</v>
      </c>
    </row>
    <row r="3" customFormat="false" ht="26.85" hidden="false" customHeight="false" outlineLevel="0" collapsed="false">
      <c r="A3" s="5" t="s">
        <v>175</v>
      </c>
      <c r="B3" s="5" t="s">
        <v>176</v>
      </c>
      <c r="C3" s="5" t="s">
        <v>177</v>
      </c>
      <c r="D3" s="5" t="s">
        <v>178</v>
      </c>
      <c r="E3" s="5" t="s">
        <v>177</v>
      </c>
      <c r="F3" s="5" t="s">
        <v>179</v>
      </c>
      <c r="G3" s="5" t="s">
        <v>177</v>
      </c>
      <c r="H3" s="5" t="s">
        <v>180</v>
      </c>
      <c r="I3" s="5" t="s">
        <v>177</v>
      </c>
      <c r="J3" s="5" t="s">
        <v>181</v>
      </c>
      <c r="K3" s="5" t="s">
        <v>182</v>
      </c>
    </row>
    <row r="4" customFormat="false" ht="15" hidden="false" customHeight="false" outlineLevel="0" collapsed="false">
      <c r="A4" s="2" t="s">
        <v>183</v>
      </c>
      <c r="B4" s="7" t="n">
        <v>18</v>
      </c>
      <c r="D4" s="7" t="n">
        <v>35</v>
      </c>
      <c r="F4" s="7" t="n">
        <v>82</v>
      </c>
      <c r="H4" s="2" t="n">
        <f aca="false">B4+D4+F4</f>
        <v>135</v>
      </c>
    </row>
    <row r="5" customFormat="false" ht="15" hidden="false" customHeight="false" outlineLevel="0" collapsed="false">
      <c r="A5" s="6" t="s">
        <v>141</v>
      </c>
      <c r="B5" s="6" t="n">
        <v>9</v>
      </c>
      <c r="C5" s="8" t="n">
        <f aca="false">B5/B$4</f>
        <v>0.5</v>
      </c>
      <c r="D5" s="6" t="n">
        <v>5</v>
      </c>
      <c r="E5" s="8" t="n">
        <f aca="false">D5/D$4</f>
        <v>0.142857142857143</v>
      </c>
      <c r="F5" s="6" t="n">
        <v>11</v>
      </c>
      <c r="G5" s="8" t="n">
        <f aca="false">F5/F$4</f>
        <v>0.134146341463415</v>
      </c>
      <c r="H5" s="6" t="n">
        <f aca="false">B5+D5+F5</f>
        <v>25</v>
      </c>
      <c r="I5" s="8" t="n">
        <f aca="false">H5/H$4</f>
        <v>0.185185185185185</v>
      </c>
      <c r="J5" s="17" t="n">
        <v>-3.0388</v>
      </c>
      <c r="K5" s="18" t="n">
        <v>0.0024</v>
      </c>
    </row>
    <row r="6" customFormat="false" ht="15" hidden="false" customHeight="false" outlineLevel="0" collapsed="false">
      <c r="A6" s="6" t="s">
        <v>140</v>
      </c>
      <c r="B6" s="6" t="n">
        <v>9</v>
      </c>
      <c r="C6" s="8" t="n">
        <f aca="false">B6/B$4</f>
        <v>0.5</v>
      </c>
      <c r="D6" s="6" t="n">
        <v>6</v>
      </c>
      <c r="E6" s="8" t="n">
        <f aca="false">D6/D$4</f>
        <v>0.171428571428571</v>
      </c>
      <c r="F6" s="6" t="n">
        <v>15</v>
      </c>
      <c r="G6" s="8" t="n">
        <f aca="false">F6/F$4</f>
        <v>0.182926829268293</v>
      </c>
      <c r="H6" s="6" t="n">
        <f aca="false">B6+D6+F6</f>
        <v>30</v>
      </c>
      <c r="I6" s="8" t="n">
        <f aca="false">H6/H$4</f>
        <v>0.222222222222222</v>
      </c>
      <c r="J6" s="17" t="n">
        <v>-2.3696</v>
      </c>
      <c r="K6" s="18" t="n">
        <v>0.0178</v>
      </c>
    </row>
    <row r="7" customFormat="false" ht="15" hidden="false" customHeight="false" outlineLevel="0" collapsed="false">
      <c r="A7" s="6" t="s">
        <v>142</v>
      </c>
      <c r="B7" s="6" t="n">
        <v>1</v>
      </c>
      <c r="C7" s="8" t="n">
        <f aca="false">B7/B$4</f>
        <v>0.0555555555555556</v>
      </c>
      <c r="D7" s="6" t="n">
        <v>12</v>
      </c>
      <c r="E7" s="8" t="n">
        <f aca="false">D7/D$4</f>
        <v>0.342857142857143</v>
      </c>
      <c r="F7" s="6" t="n">
        <v>8</v>
      </c>
      <c r="G7" s="8" t="n">
        <f aca="false">F7/F$4</f>
        <v>0.0975609756097561</v>
      </c>
      <c r="H7" s="6" t="n">
        <f aca="false">B7+D7+F7</f>
        <v>21</v>
      </c>
      <c r="I7" s="8" t="n">
        <f aca="false">H7/H$4</f>
        <v>0.155555555555556</v>
      </c>
      <c r="J7" s="17" t="n">
        <v>-0.9771</v>
      </c>
      <c r="K7" s="18" t="n">
        <v>0.3285</v>
      </c>
    </row>
    <row r="8" customFormat="false" ht="15" hidden="false" customHeight="false" outlineLevel="0" collapsed="false">
      <c r="A8" s="6" t="s">
        <v>143</v>
      </c>
      <c r="B8" s="6" t="n">
        <v>2</v>
      </c>
      <c r="C8" s="8" t="n">
        <f aca="false">B8/B$4</f>
        <v>0.111111111111111</v>
      </c>
      <c r="D8" s="6" t="n">
        <v>4</v>
      </c>
      <c r="E8" s="8" t="n">
        <f aca="false">D8/D$4</f>
        <v>0.114285714285714</v>
      </c>
      <c r="F8" s="6" t="n">
        <v>14</v>
      </c>
      <c r="G8" s="8" t="n">
        <f aca="false">F8/F$4</f>
        <v>0.170731707317073</v>
      </c>
      <c r="H8" s="6" t="n">
        <f aca="false">B8+D8+F8</f>
        <v>20</v>
      </c>
      <c r="I8" s="8" t="n">
        <f aca="false">H8/H$4</f>
        <v>0.148148148148148</v>
      </c>
      <c r="J8" s="17" t="n">
        <v>0.8494</v>
      </c>
      <c r="K8" s="18" t="n">
        <v>0.3956</v>
      </c>
    </row>
    <row r="9" customFormat="false" ht="15" hidden="false" customHeight="false" outlineLevel="0" collapsed="false">
      <c r="A9" s="6" t="s">
        <v>139</v>
      </c>
      <c r="B9" s="6" t="n">
        <v>1</v>
      </c>
      <c r="C9" s="8" t="n">
        <f aca="false">B9/B$4</f>
        <v>0.0555555555555556</v>
      </c>
      <c r="D9" s="6" t="n">
        <v>3</v>
      </c>
      <c r="E9" s="8" t="n">
        <f aca="false">D9/D$4</f>
        <v>0.0857142857142857</v>
      </c>
      <c r="F9" s="6" t="n">
        <v>12</v>
      </c>
      <c r="G9" s="8" t="n">
        <f aca="false">F9/F$4</f>
        <v>0.146341463414634</v>
      </c>
      <c r="H9" s="6" t="n">
        <f aca="false">B9+D9+F9</f>
        <v>16</v>
      </c>
      <c r="I9" s="8" t="n">
        <f aca="false">H9/H$4</f>
        <v>0.118518518518519</v>
      </c>
      <c r="J9" s="17" t="n">
        <v>1.2658</v>
      </c>
      <c r="K9" s="18" t="n">
        <v>0.2056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1"/>
  </cols>
  <sheetData>
    <row r="1" customFormat="false" ht="16.15" hidden="false" customHeight="false" outlineLevel="0" collapsed="false">
      <c r="A1" s="1" t="s">
        <v>199</v>
      </c>
    </row>
    <row r="2" customFormat="false" ht="15" hidden="false" customHeight="false" outlineLevel="0" collapsed="false">
      <c r="A2" s="4" t="s">
        <v>200</v>
      </c>
    </row>
    <row r="3" customFormat="false" ht="26.85" hidden="false" customHeight="false" outlineLevel="0" collapsed="false">
      <c r="A3" s="5" t="s">
        <v>175</v>
      </c>
      <c r="B3" s="5" t="s">
        <v>201</v>
      </c>
      <c r="C3" s="5" t="s">
        <v>176</v>
      </c>
      <c r="D3" s="5" t="s">
        <v>177</v>
      </c>
      <c r="E3" s="5" t="s">
        <v>178</v>
      </c>
      <c r="F3" s="5" t="s">
        <v>177</v>
      </c>
      <c r="G3" s="5" t="s">
        <v>179</v>
      </c>
      <c r="H3" s="5" t="s">
        <v>177</v>
      </c>
      <c r="I3" s="5" t="s">
        <v>181</v>
      </c>
      <c r="J3" s="5" t="s">
        <v>182</v>
      </c>
    </row>
    <row r="4" customFormat="false" ht="15" hidden="false" customHeight="false" outlineLevel="0" collapsed="false">
      <c r="A4" s="2" t="s">
        <v>183</v>
      </c>
      <c r="C4" s="7" t="n">
        <v>18</v>
      </c>
      <c r="E4" s="7" t="n">
        <v>35</v>
      </c>
      <c r="G4" s="7" t="n">
        <v>82</v>
      </c>
    </row>
    <row r="5" customFormat="false" ht="15" hidden="false" customHeight="false" outlineLevel="0" collapsed="false">
      <c r="A5" s="6" t="s">
        <v>131</v>
      </c>
      <c r="B5" s="6" t="s">
        <v>202</v>
      </c>
      <c r="C5" s="7" t="n">
        <v>0</v>
      </c>
      <c r="D5" s="8" t="n">
        <f aca="false">C5/C$4</f>
        <v>0</v>
      </c>
      <c r="E5" s="7" t="n">
        <v>2</v>
      </c>
      <c r="F5" s="8" t="n">
        <f aca="false">E5/E$4</f>
        <v>0.0571428571428571</v>
      </c>
      <c r="G5" s="7" t="n">
        <v>35</v>
      </c>
      <c r="H5" s="8" t="n">
        <f aca="false">G5/G$4</f>
        <v>0.426829268292683</v>
      </c>
      <c r="I5" s="17" t="n">
        <v>4.6898</v>
      </c>
      <c r="J5" s="18" t="n">
        <v>0</v>
      </c>
    </row>
    <row r="6" customFormat="false" ht="15" hidden="false" customHeight="false" outlineLevel="0" collapsed="false">
      <c r="A6" s="6"/>
      <c r="B6" s="6" t="s">
        <v>203</v>
      </c>
      <c r="C6" s="7" t="n">
        <v>0</v>
      </c>
      <c r="D6" s="8" t="n">
        <f aca="false">C6/C$4</f>
        <v>0</v>
      </c>
      <c r="E6" s="7" t="n">
        <v>0</v>
      </c>
      <c r="F6" s="8" t="n">
        <f aca="false">E6/E$4</f>
        <v>0</v>
      </c>
      <c r="G6" s="7" t="n">
        <v>22</v>
      </c>
      <c r="H6" s="8" t="n">
        <f aca="false">G6/G$4</f>
        <v>0.268292682926829</v>
      </c>
      <c r="I6" s="17" t="n">
        <v>3.7535</v>
      </c>
      <c r="J6" s="18" t="n">
        <v>0.0002</v>
      </c>
    </row>
    <row r="7" customFormat="false" ht="15" hidden="false" customHeight="false" outlineLevel="0" collapsed="false">
      <c r="A7" s="6" t="s">
        <v>132</v>
      </c>
      <c r="B7" s="6" t="s">
        <v>202</v>
      </c>
      <c r="C7" s="7" t="n">
        <v>1</v>
      </c>
      <c r="D7" s="8" t="n">
        <f aca="false">C7/C$4</f>
        <v>0.0555555555555556</v>
      </c>
      <c r="E7" s="7" t="n">
        <v>6</v>
      </c>
      <c r="F7" s="8" t="n">
        <f aca="false">E7/E$4</f>
        <v>0.171428571428571</v>
      </c>
      <c r="G7" s="7" t="n">
        <v>26</v>
      </c>
      <c r="H7" s="8" t="n">
        <f aca="false">G7/G$4</f>
        <v>0.317073170731707</v>
      </c>
      <c r="I7" s="17" t="n">
        <v>2.6083</v>
      </c>
      <c r="J7" s="18" t="n">
        <v>0.0091</v>
      </c>
    </row>
    <row r="8" customFormat="false" ht="15" hidden="false" customHeight="false" outlineLevel="0" collapsed="false">
      <c r="A8" s="6"/>
      <c r="B8" s="6" t="s">
        <v>203</v>
      </c>
      <c r="C8" s="7" t="n">
        <v>1</v>
      </c>
      <c r="D8" s="8" t="n">
        <f aca="false">C8/C$4</f>
        <v>0.0555555555555556</v>
      </c>
      <c r="E8" s="7" t="n">
        <v>3</v>
      </c>
      <c r="F8" s="8" t="n">
        <f aca="false">E8/E$4</f>
        <v>0.0857142857142857</v>
      </c>
      <c r="G8" s="7" t="n">
        <v>26</v>
      </c>
      <c r="H8" s="8" t="n">
        <f aca="false">G8/G$4</f>
        <v>0.317073170731707</v>
      </c>
      <c r="I8" s="17" t="n">
        <v>3.1061</v>
      </c>
      <c r="J8" s="18" t="n">
        <v>0.0019</v>
      </c>
    </row>
    <row r="9" customFormat="false" ht="15" hidden="false" customHeight="false" outlineLevel="0" collapsed="false">
      <c r="A9" s="6" t="s">
        <v>133</v>
      </c>
      <c r="B9" s="6" t="s">
        <v>202</v>
      </c>
      <c r="C9" s="7" t="n">
        <v>4</v>
      </c>
      <c r="D9" s="8" t="n">
        <f aca="false">C9/C$4</f>
        <v>0.222222222222222</v>
      </c>
      <c r="E9" s="7" t="n">
        <v>6</v>
      </c>
      <c r="F9" s="8" t="n">
        <f aca="false">E9/E$4</f>
        <v>0.171428571428571</v>
      </c>
      <c r="G9" s="7" t="n">
        <v>17</v>
      </c>
      <c r="H9" s="8" t="n">
        <f aca="false">G9/G$4</f>
        <v>0.207317073170732</v>
      </c>
      <c r="I9" s="17" t="n">
        <v>0.0599</v>
      </c>
      <c r="J9" s="18" t="n">
        <v>0.9522</v>
      </c>
    </row>
    <row r="10" customFormat="false" ht="15" hidden="false" customHeight="false" outlineLevel="0" collapsed="false">
      <c r="A10" s="6"/>
      <c r="B10" s="6" t="s">
        <v>203</v>
      </c>
      <c r="C10" s="7" t="n">
        <v>4</v>
      </c>
      <c r="D10" s="8" t="n">
        <f aca="false">C10/C$4</f>
        <v>0.222222222222222</v>
      </c>
      <c r="E10" s="7" t="n">
        <v>2</v>
      </c>
      <c r="F10" s="8" t="n">
        <f aca="false">E10/E$4</f>
        <v>0.0571428571428571</v>
      </c>
      <c r="G10" s="7" t="n">
        <v>12</v>
      </c>
      <c r="H10" s="8" t="n">
        <f aca="false">G10/G$4</f>
        <v>0.146341463414634</v>
      </c>
      <c r="I10" s="17" t="n">
        <v>-0.188</v>
      </c>
      <c r="J10" s="18" t="n">
        <v>0.8509</v>
      </c>
    </row>
    <row r="11" customFormat="false" ht="15" hidden="false" customHeight="false" outlineLevel="0" collapsed="false">
      <c r="A11" s="6" t="s">
        <v>185</v>
      </c>
      <c r="B11" s="6" t="s">
        <v>202</v>
      </c>
      <c r="C11" s="7" t="n">
        <v>2</v>
      </c>
      <c r="D11" s="8" t="n">
        <f aca="false">C11/C$4</f>
        <v>0.111111111111111</v>
      </c>
      <c r="E11" s="7" t="n">
        <v>3</v>
      </c>
      <c r="F11" s="8" t="n">
        <f aca="false">E11/E$4</f>
        <v>0.0857142857142857</v>
      </c>
      <c r="G11" s="7" t="n">
        <v>5</v>
      </c>
      <c r="H11" s="8" t="n">
        <f aca="false">G11/G$4</f>
        <v>0.0609756097560976</v>
      </c>
      <c r="I11" s="17" t="n">
        <v>-0.7964</v>
      </c>
      <c r="J11" s="18" t="n">
        <v>0.4258</v>
      </c>
    </row>
    <row r="12" customFormat="false" ht="15" hidden="false" customHeight="false" outlineLevel="0" collapsed="false">
      <c r="A12" s="6"/>
      <c r="B12" s="6" t="s">
        <v>203</v>
      </c>
      <c r="C12" s="7" t="n">
        <v>1</v>
      </c>
      <c r="D12" s="8" t="n">
        <f aca="false">C12/C$4</f>
        <v>0.0555555555555556</v>
      </c>
      <c r="E12" s="7" t="n">
        <v>3</v>
      </c>
      <c r="F12" s="8" t="n">
        <f aca="false">E12/E$4</f>
        <v>0.0857142857142857</v>
      </c>
      <c r="G12" s="7" t="n">
        <v>3</v>
      </c>
      <c r="H12" s="8" t="n">
        <f aca="false">G12/G$4</f>
        <v>0.0365853658536585</v>
      </c>
      <c r="I12" s="17" t="n">
        <v>-0.7125</v>
      </c>
      <c r="J12" s="18" t="n">
        <v>0.4762</v>
      </c>
    </row>
    <row r="13" customFormat="false" ht="15" hidden="false" customHeight="false" outlineLevel="0" collapsed="false">
      <c r="A13" s="6" t="s">
        <v>186</v>
      </c>
      <c r="B13" s="6" t="s">
        <v>202</v>
      </c>
      <c r="C13" s="7" t="n">
        <v>8</v>
      </c>
      <c r="D13" s="8" t="n">
        <f aca="false">C13/C$4</f>
        <v>0.444444444444444</v>
      </c>
      <c r="E13" s="7" t="n">
        <v>7</v>
      </c>
      <c r="F13" s="8" t="n">
        <f aca="false">E13/E$4</f>
        <v>0.2</v>
      </c>
      <c r="G13" s="7" t="n">
        <v>14</v>
      </c>
      <c r="H13" s="8" t="n">
        <f aca="false">G13/G$4</f>
        <v>0.170731707317073</v>
      </c>
      <c r="I13" s="17" t="n">
        <v>-2.2604</v>
      </c>
      <c r="J13" s="18" t="n">
        <v>0.0238</v>
      </c>
    </row>
    <row r="14" customFormat="false" ht="15" hidden="false" customHeight="false" outlineLevel="0" collapsed="false">
      <c r="A14" s="6"/>
      <c r="B14" s="6" t="s">
        <v>203</v>
      </c>
      <c r="C14" s="7" t="n">
        <v>1</v>
      </c>
      <c r="D14" s="8" t="n">
        <f aca="false">C14/C$4</f>
        <v>0.0555555555555556</v>
      </c>
      <c r="E14" s="7" t="n">
        <v>7</v>
      </c>
      <c r="F14" s="8" t="n">
        <f aca="false">E14/E$4</f>
        <v>0.2</v>
      </c>
      <c r="G14" s="7" t="n">
        <v>8</v>
      </c>
      <c r="H14" s="8" t="n">
        <f aca="false">G14/G$4</f>
        <v>0.0975609756097561</v>
      </c>
      <c r="I14" s="17" t="n">
        <v>-0.2169</v>
      </c>
      <c r="J14" s="18" t="n">
        <v>0.8283</v>
      </c>
    </row>
    <row r="15" customFormat="false" ht="15" hidden="false" customHeight="false" outlineLevel="0" collapsed="false">
      <c r="A15" s="6" t="s">
        <v>187</v>
      </c>
      <c r="B15" s="6" t="s">
        <v>202</v>
      </c>
      <c r="C15" s="7" t="n">
        <v>6</v>
      </c>
      <c r="D15" s="8" t="n">
        <f aca="false">C15/C$4</f>
        <v>0.333333333333333</v>
      </c>
      <c r="E15" s="7" t="n">
        <v>11</v>
      </c>
      <c r="F15" s="8" t="n">
        <f aca="false">E15/E$4</f>
        <v>0.314285714285714</v>
      </c>
      <c r="G15" s="7" t="n">
        <v>38</v>
      </c>
      <c r="H15" s="8" t="n">
        <f aca="false">G15/G$4</f>
        <v>0.463414634146342</v>
      </c>
      <c r="I15" s="17" t="n">
        <v>1.445</v>
      </c>
      <c r="J15" s="18" t="n">
        <v>0.1485</v>
      </c>
    </row>
    <row r="16" customFormat="false" ht="15" hidden="false" customHeight="false" outlineLevel="0" collapsed="false">
      <c r="A16" s="6"/>
      <c r="B16" s="6" t="s">
        <v>203</v>
      </c>
      <c r="C16" s="7" t="n">
        <v>4</v>
      </c>
      <c r="D16" s="8" t="n">
        <f aca="false">C16/C$4</f>
        <v>0.222222222222222</v>
      </c>
      <c r="E16" s="7" t="n">
        <v>9</v>
      </c>
      <c r="F16" s="8" t="n">
        <f aca="false">E16/E$4</f>
        <v>0.257142857142857</v>
      </c>
      <c r="G16" s="7" t="n">
        <v>28</v>
      </c>
      <c r="H16" s="8" t="n">
        <f aca="false">G16/G$4</f>
        <v>0.341463414634146</v>
      </c>
      <c r="I16" s="17" t="n">
        <v>1.1889</v>
      </c>
      <c r="J16" s="18" t="n">
        <v>0.2345</v>
      </c>
    </row>
    <row r="17" customFormat="false" ht="15" hidden="false" customHeight="false" outlineLevel="0" collapsed="false">
      <c r="A17" s="6" t="s">
        <v>188</v>
      </c>
      <c r="B17" s="6" t="s">
        <v>202</v>
      </c>
      <c r="C17" s="7" t="n">
        <v>5</v>
      </c>
      <c r="D17" s="8" t="n">
        <f aca="false">C17/C$4</f>
        <v>0.277777777777778</v>
      </c>
      <c r="E17" s="7" t="n">
        <v>14</v>
      </c>
      <c r="F17" s="8" t="n">
        <f aca="false">E17/E$4</f>
        <v>0.4</v>
      </c>
      <c r="G17" s="7" t="n">
        <v>20</v>
      </c>
      <c r="H17" s="8" t="n">
        <f aca="false">G17/G$4</f>
        <v>0.24390243902439</v>
      </c>
      <c r="I17" s="17" t="n">
        <v>-0.9223</v>
      </c>
      <c r="J17" s="18" t="n">
        <v>0.3564</v>
      </c>
    </row>
    <row r="18" customFormat="false" ht="15" hidden="false" customHeight="false" outlineLevel="0" collapsed="false">
      <c r="A18" s="6"/>
      <c r="B18" s="6" t="s">
        <v>203</v>
      </c>
      <c r="C18" s="7" t="n">
        <v>5</v>
      </c>
      <c r="D18" s="8" t="n">
        <f aca="false">C18/C$4</f>
        <v>0.277777777777778</v>
      </c>
      <c r="E18" s="7" t="n">
        <v>9</v>
      </c>
      <c r="F18" s="8" t="n">
        <f aca="false">E18/E$4</f>
        <v>0.257142857142857</v>
      </c>
      <c r="G18" s="7" t="n">
        <v>13</v>
      </c>
      <c r="H18" s="8" t="n">
        <f aca="false">G18/G$4</f>
        <v>0.158536585365854</v>
      </c>
      <c r="I18" s="17" t="n">
        <v>-1.4378</v>
      </c>
      <c r="J18" s="18" t="n">
        <v>0.1505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3" min="3" style="0" width="90"/>
  </cols>
  <sheetData>
    <row r="1" customFormat="false" ht="16.15" hidden="false" customHeight="false" outlineLevel="0" collapsed="false">
      <c r="A1" s="1" t="s">
        <v>204</v>
      </c>
    </row>
    <row r="3" customFormat="false" ht="15" hidden="false" customHeight="false" outlineLevel="0" collapsed="false">
      <c r="A3" s="5" t="s">
        <v>205</v>
      </c>
      <c r="B3" s="5" t="s">
        <v>206</v>
      </c>
      <c r="C3" s="5" t="s">
        <v>207</v>
      </c>
    </row>
    <row r="4" customFormat="false" ht="39.55" hidden="false" customHeight="false" outlineLevel="0" collapsed="false">
      <c r="A4" s="15" t="s">
        <v>208</v>
      </c>
      <c r="B4" s="15" t="s">
        <v>209</v>
      </c>
      <c r="C4" s="15" t="s">
        <v>210</v>
      </c>
    </row>
    <row r="5" customFormat="false" ht="39.55" hidden="false" customHeight="false" outlineLevel="0" collapsed="false">
      <c r="A5" s="15" t="s">
        <v>211</v>
      </c>
      <c r="B5" s="15" t="s">
        <v>212</v>
      </c>
      <c r="C5" s="15" t="s">
        <v>213</v>
      </c>
    </row>
    <row r="6" customFormat="false" ht="26.85" hidden="false" customHeight="false" outlineLevel="0" collapsed="false">
      <c r="A6" s="15" t="s">
        <v>214</v>
      </c>
      <c r="B6" s="15" t="s">
        <v>215</v>
      </c>
      <c r="C6" s="15" t="s">
        <v>216</v>
      </c>
    </row>
    <row r="7" customFormat="false" ht="52.2" hidden="false" customHeight="false" outlineLevel="0" collapsed="false">
      <c r="A7" s="15" t="s">
        <v>217</v>
      </c>
      <c r="B7" s="15" t="s">
        <v>218</v>
      </c>
      <c r="C7" s="15" t="s">
        <v>219</v>
      </c>
    </row>
    <row r="8" customFormat="false" ht="39.55" hidden="false" customHeight="false" outlineLevel="0" collapsed="false">
      <c r="A8" s="15" t="s">
        <v>220</v>
      </c>
      <c r="B8" s="15" t="s">
        <v>221</v>
      </c>
      <c r="C8" s="15"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34"/>
    <col collapsed="false" customWidth="true" hidden="false" outlineLevel="0" max="4" min="4" style="0" width="70"/>
    <col collapsed="false" customWidth="true" hidden="false" outlineLevel="0" max="5" min="5" style="0" width="10"/>
    <col collapsed="false" customWidth="true" hidden="false" outlineLevel="0" max="6" min="6" style="0" width="9"/>
    <col collapsed="false" customWidth="true" hidden="false" outlineLevel="0" max="7" min="7" style="0" width="32"/>
  </cols>
  <sheetData>
    <row r="1" customFormat="false" ht="16.15" hidden="false" customHeight="false" outlineLevel="0" collapsed="false">
      <c r="A1" s="1" t="s">
        <v>223</v>
      </c>
    </row>
    <row r="2" customFormat="false" ht="15" hidden="false" customHeight="false" outlineLevel="0" collapsed="false">
      <c r="A2" s="4" t="s">
        <v>224</v>
      </c>
    </row>
    <row r="3" customFormat="false" ht="15" hidden="false" customHeight="false" outlineLevel="0" collapsed="false">
      <c r="A3" s="5" t="s">
        <v>15</v>
      </c>
      <c r="B3" s="5" t="s">
        <v>46</v>
      </c>
      <c r="C3" s="5" t="s">
        <v>225</v>
      </c>
      <c r="D3" s="5" t="s">
        <v>226</v>
      </c>
      <c r="E3" s="5" t="s">
        <v>227</v>
      </c>
      <c r="F3" s="5" t="s">
        <v>228</v>
      </c>
      <c r="G3" s="5" t="s">
        <v>229</v>
      </c>
    </row>
    <row r="4" customFormat="false" ht="15" hidden="false" customHeight="false" outlineLevel="0" collapsed="false">
      <c r="A4" s="6" t="s">
        <v>230</v>
      </c>
      <c r="B4" s="6" t="n">
        <v>2025</v>
      </c>
      <c r="C4" s="6" t="s">
        <v>231</v>
      </c>
      <c r="D4" s="6" t="s">
        <v>232</v>
      </c>
      <c r="E4" s="7" t="n">
        <v>98</v>
      </c>
      <c r="F4" s="10" t="n">
        <f aca="false">E4/(2026-B4+1)</f>
        <v>49</v>
      </c>
      <c r="G4" s="6" t="s">
        <v>233</v>
      </c>
    </row>
    <row r="5" customFormat="false" ht="15" hidden="false" customHeight="false" outlineLevel="0" collapsed="false">
      <c r="A5" s="6" t="s">
        <v>234</v>
      </c>
      <c r="B5" s="6" t="n">
        <v>2023</v>
      </c>
      <c r="C5" s="6" t="s">
        <v>235</v>
      </c>
      <c r="D5" s="6" t="s">
        <v>236</v>
      </c>
      <c r="E5" s="7" t="n">
        <v>74</v>
      </c>
      <c r="F5" s="10" t="n">
        <f aca="false">E5/(2026-B5+1)</f>
        <v>18.5</v>
      </c>
      <c r="G5" s="6" t="s">
        <v>237</v>
      </c>
    </row>
    <row r="6" customFormat="false" ht="15" hidden="false" customHeight="false" outlineLevel="0" collapsed="false">
      <c r="A6" s="6" t="s">
        <v>238</v>
      </c>
      <c r="B6" s="6" t="n">
        <v>2019</v>
      </c>
      <c r="C6" s="6" t="s">
        <v>239</v>
      </c>
      <c r="D6" s="6" t="s">
        <v>240</v>
      </c>
      <c r="E6" s="7" t="n">
        <v>71</v>
      </c>
      <c r="F6" s="10" t="n">
        <f aca="false">E6/(2026-B6+1)</f>
        <v>8.875</v>
      </c>
      <c r="G6" s="6" t="s">
        <v>241</v>
      </c>
    </row>
    <row r="7" customFormat="false" ht="15" hidden="false" customHeight="false" outlineLevel="0" collapsed="false">
      <c r="A7" s="6" t="s">
        <v>242</v>
      </c>
      <c r="B7" s="6" t="n">
        <v>2019</v>
      </c>
      <c r="C7" s="6" t="s">
        <v>243</v>
      </c>
      <c r="D7" s="6" t="s">
        <v>244</v>
      </c>
      <c r="E7" s="7" t="n">
        <v>68</v>
      </c>
      <c r="F7" s="10" t="n">
        <f aca="false">E7/(2026-B7+1)</f>
        <v>8.5</v>
      </c>
      <c r="G7" s="6" t="s">
        <v>245</v>
      </c>
    </row>
    <row r="8" customFormat="false" ht="15" hidden="false" customHeight="false" outlineLevel="0" collapsed="false">
      <c r="A8" s="6" t="s">
        <v>246</v>
      </c>
      <c r="B8" s="6" t="n">
        <v>2025</v>
      </c>
      <c r="C8" s="6" t="s">
        <v>247</v>
      </c>
      <c r="D8" s="6" t="s">
        <v>248</v>
      </c>
      <c r="E8" s="7" t="n">
        <v>49</v>
      </c>
      <c r="F8" s="10" t="n">
        <f aca="false">E8/(2026-B8+1)</f>
        <v>24.5</v>
      </c>
      <c r="G8" s="6" t="s">
        <v>249</v>
      </c>
    </row>
    <row r="9" customFormat="false" ht="15" hidden="false" customHeight="false" outlineLevel="0" collapsed="false">
      <c r="A9" s="6" t="s">
        <v>250</v>
      </c>
      <c r="B9" s="6" t="n">
        <v>2020</v>
      </c>
      <c r="C9" s="6" t="s">
        <v>251</v>
      </c>
      <c r="D9" s="6" t="s">
        <v>252</v>
      </c>
      <c r="E9" s="7" t="n">
        <v>49</v>
      </c>
      <c r="F9" s="10" t="n">
        <f aca="false">E9/(2026-B9+1)</f>
        <v>7</v>
      </c>
      <c r="G9" s="6" t="s">
        <v>253</v>
      </c>
    </row>
    <row r="10" customFormat="false" ht="15" hidden="false" customHeight="false" outlineLevel="0" collapsed="false">
      <c r="A10" s="6" t="s">
        <v>254</v>
      </c>
      <c r="B10" s="6" t="n">
        <v>2018</v>
      </c>
      <c r="C10" s="6" t="s">
        <v>255</v>
      </c>
      <c r="D10" s="6" t="s">
        <v>256</v>
      </c>
      <c r="E10" s="7" t="n">
        <v>49</v>
      </c>
      <c r="F10" s="10" t="n">
        <f aca="false">E10/(2026-B10+1)</f>
        <v>5.44444444444445</v>
      </c>
      <c r="G10" s="6" t="s">
        <v>257</v>
      </c>
    </row>
    <row r="11" customFormat="false" ht="15" hidden="false" customHeight="false" outlineLevel="0" collapsed="false">
      <c r="A11" s="6" t="s">
        <v>258</v>
      </c>
      <c r="B11" s="6" t="n">
        <v>2022</v>
      </c>
      <c r="C11" s="6" t="s">
        <v>259</v>
      </c>
      <c r="D11" s="6" t="s">
        <v>260</v>
      </c>
      <c r="E11" s="7" t="n">
        <v>46</v>
      </c>
      <c r="F11" s="10" t="n">
        <f aca="false">E11/(2026-B11+1)</f>
        <v>9.2</v>
      </c>
      <c r="G11" s="6" t="s">
        <v>261</v>
      </c>
    </row>
    <row r="12" customFormat="false" ht="15" hidden="false" customHeight="false" outlineLevel="0" collapsed="false">
      <c r="A12" s="6" t="s">
        <v>262</v>
      </c>
      <c r="B12" s="6" t="n">
        <v>2024</v>
      </c>
      <c r="C12" s="6" t="s">
        <v>263</v>
      </c>
      <c r="D12" s="6" t="s">
        <v>264</v>
      </c>
      <c r="E12" s="7" t="n">
        <v>45</v>
      </c>
      <c r="F12" s="10" t="n">
        <f aca="false">E12/(2026-B12+1)</f>
        <v>15</v>
      </c>
      <c r="G12" s="6" t="s">
        <v>265</v>
      </c>
    </row>
    <row r="13" customFormat="false" ht="15" hidden="false" customHeight="false" outlineLevel="0" collapsed="false">
      <c r="A13" s="6" t="s">
        <v>266</v>
      </c>
      <c r="B13" s="6" t="n">
        <v>2021</v>
      </c>
      <c r="C13" s="6" t="s">
        <v>267</v>
      </c>
      <c r="D13" s="6" t="s">
        <v>268</v>
      </c>
      <c r="E13" s="7" t="n">
        <v>44</v>
      </c>
      <c r="F13" s="10" t="n">
        <f aca="false">E13/(2026-B13+1)</f>
        <v>7.33333333333333</v>
      </c>
      <c r="G13" s="6" t="s">
        <v>269</v>
      </c>
    </row>
    <row r="14" customFormat="false" ht="15" hidden="false" customHeight="false" outlineLevel="0" collapsed="false">
      <c r="D14" s="2" t="s">
        <v>270</v>
      </c>
      <c r="E14" s="2" t="n">
        <f aca="false">SUM(E4:E13)</f>
        <v>593</v>
      </c>
    </row>
    <row r="15" customFormat="false" ht="15" hidden="false" customHeight="false" outlineLevel="0" collapsed="false">
      <c r="D15" s="6" t="s">
        <v>271</v>
      </c>
      <c r="E15" s="7" t="n">
        <v>1646</v>
      </c>
    </row>
    <row r="16" customFormat="false" ht="15" hidden="false" customHeight="false" outlineLevel="0" collapsed="false">
      <c r="D16" s="6" t="s">
        <v>272</v>
      </c>
      <c r="E16" s="12" t="n">
        <f aca="false">E14/E15</f>
        <v>0.360267314702309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14"/>
    <col collapsed="false" customWidth="true" hidden="false" outlineLevel="0" max="4" min="4" style="0" width="10"/>
    <col collapsed="false" customWidth="true" hidden="false" outlineLevel="0" max="5" min="5" style="0" width="11"/>
    <col collapsed="false" customWidth="true" hidden="false" outlineLevel="0" max="6" min="6" style="0" width="12"/>
    <col collapsed="false" customWidth="true" hidden="false" outlineLevel="0" max="7" min="7" style="0" width="14"/>
  </cols>
  <sheetData>
    <row r="1" customFormat="false" ht="16.15" hidden="false" customHeight="false" outlineLevel="0" collapsed="false">
      <c r="A1" s="1" t="s">
        <v>273</v>
      </c>
    </row>
    <row r="2" customFormat="false" ht="15" hidden="false" customHeight="false" outlineLevel="0" collapsed="false">
      <c r="A2" s="4" t="s">
        <v>274</v>
      </c>
    </row>
    <row r="3" customFormat="false" ht="26.85" hidden="false" customHeight="false" outlineLevel="0" collapsed="false">
      <c r="A3" s="5" t="s">
        <v>175</v>
      </c>
      <c r="B3" s="5" t="s">
        <v>275</v>
      </c>
      <c r="C3" s="5" t="s">
        <v>276</v>
      </c>
      <c r="D3" s="5" t="s">
        <v>277</v>
      </c>
      <c r="E3" s="5" t="s">
        <v>278</v>
      </c>
      <c r="F3" s="5" t="s">
        <v>279</v>
      </c>
      <c r="G3" s="5" t="s">
        <v>42</v>
      </c>
    </row>
    <row r="4" customFormat="false" ht="15" hidden="false" customHeight="false" outlineLevel="0" collapsed="false">
      <c r="A4" s="2" t="s">
        <v>184</v>
      </c>
    </row>
    <row r="5" customFormat="false" ht="15" hidden="false" customHeight="false" outlineLevel="0" collapsed="false">
      <c r="A5" s="6" t="s">
        <v>185</v>
      </c>
      <c r="B5" s="7" t="n">
        <v>1</v>
      </c>
      <c r="C5" s="7" t="n">
        <v>5</v>
      </c>
      <c r="D5" s="7" t="n">
        <v>1</v>
      </c>
      <c r="E5" s="9" t="n">
        <f aca="false">IF(C5=0,"",D5/C5)</f>
        <v>0.2</v>
      </c>
      <c r="F5" s="9" t="n">
        <f aca="false">IF(B5=0,"",D5/B5)</f>
        <v>1</v>
      </c>
      <c r="G5" s="17" t="n">
        <v>0.286</v>
      </c>
    </row>
    <row r="6" customFormat="false" ht="15" hidden="false" customHeight="false" outlineLevel="0" collapsed="false">
      <c r="A6" s="6" t="s">
        <v>186</v>
      </c>
      <c r="B6" s="7" t="n">
        <v>5</v>
      </c>
      <c r="C6" s="7" t="n">
        <v>6</v>
      </c>
      <c r="D6" s="7" t="n">
        <v>5</v>
      </c>
      <c r="E6" s="9" t="n">
        <f aca="false">IF(C6=0,"",D6/C6)</f>
        <v>0.833333333333333</v>
      </c>
      <c r="F6" s="9" t="n">
        <f aca="false">IF(B6=0,"",D6/B6)</f>
        <v>1</v>
      </c>
      <c r="G6" s="17" t="n">
        <v>0.884</v>
      </c>
    </row>
    <row r="7" customFormat="false" ht="15" hidden="false" customHeight="false" outlineLevel="0" collapsed="false">
      <c r="A7" s="6" t="s">
        <v>187</v>
      </c>
      <c r="B7" s="7" t="n">
        <v>5</v>
      </c>
      <c r="C7" s="7" t="n">
        <v>8</v>
      </c>
      <c r="D7" s="7" t="n">
        <v>5</v>
      </c>
      <c r="E7" s="9" t="n">
        <f aca="false">IF(C7=0,"",D7/C7)</f>
        <v>0.625</v>
      </c>
      <c r="F7" s="9" t="n">
        <f aca="false">IF(B7=0,"",D7/B7)</f>
        <v>1</v>
      </c>
      <c r="G7" s="17" t="n">
        <v>0.694</v>
      </c>
    </row>
    <row r="8" customFormat="false" ht="15" hidden="false" customHeight="false" outlineLevel="0" collapsed="false">
      <c r="A8" s="6" t="s">
        <v>188</v>
      </c>
      <c r="B8" s="7" t="n">
        <v>10</v>
      </c>
      <c r="C8" s="7" t="n">
        <v>10</v>
      </c>
      <c r="D8" s="7" t="n">
        <v>8</v>
      </c>
      <c r="E8" s="9" t="n">
        <f aca="false">IF(C8=0,"",D8/C8)</f>
        <v>0.8</v>
      </c>
      <c r="F8" s="9" t="n">
        <f aca="false">IF(B8=0,"",D8/B8)</f>
        <v>0.8</v>
      </c>
      <c r="G8" s="17" t="n">
        <v>0.667</v>
      </c>
    </row>
    <row r="9" customFormat="false" ht="15" hidden="false" customHeight="false" outlineLevel="0" collapsed="false">
      <c r="A9" s="2" t="s">
        <v>189</v>
      </c>
    </row>
    <row r="10" customFormat="false" ht="15" hidden="false" customHeight="false" outlineLevel="0" collapsed="false">
      <c r="A10" s="6" t="s">
        <v>194</v>
      </c>
      <c r="B10" s="7" t="n">
        <v>2</v>
      </c>
      <c r="C10" s="7" t="n">
        <v>3</v>
      </c>
      <c r="D10" s="7" t="n">
        <v>1</v>
      </c>
      <c r="E10" s="9" t="n">
        <f aca="false">IF(C10=0,"",D10/C10)</f>
        <v>0.333333333333333</v>
      </c>
      <c r="F10" s="9" t="n">
        <f aca="false">IF(B10=0,"",D10/B10)</f>
        <v>0.5</v>
      </c>
      <c r="G10" s="17" t="n">
        <v>0.336</v>
      </c>
    </row>
    <row r="11" customFormat="false" ht="15" hidden="false" customHeight="false" outlineLevel="0" collapsed="false">
      <c r="A11" s="6" t="s">
        <v>192</v>
      </c>
      <c r="B11" s="7" t="n">
        <v>2</v>
      </c>
      <c r="C11" s="7" t="n">
        <v>4</v>
      </c>
      <c r="D11" s="7" t="n">
        <v>1</v>
      </c>
      <c r="E11" s="9" t="n">
        <f aca="false">IF(C11=0,"",D11/C11)</f>
        <v>0.25</v>
      </c>
      <c r="F11" s="9" t="n">
        <f aca="false">IF(B11=0,"",D11/B11)</f>
        <v>0.5</v>
      </c>
      <c r="G11" s="17" t="n">
        <v>0.254</v>
      </c>
    </row>
    <row r="12" customFormat="false" ht="15" hidden="false" customHeight="false" outlineLevel="0" collapsed="false">
      <c r="A12" s="6" t="s">
        <v>190</v>
      </c>
      <c r="B12" s="7" t="n">
        <v>17</v>
      </c>
      <c r="C12" s="7" t="n">
        <v>14</v>
      </c>
      <c r="D12" s="7" t="n">
        <v>13</v>
      </c>
      <c r="E12" s="9" t="n">
        <f aca="false">IF(C12=0,"",D12/C12)</f>
        <v>0.928571428571429</v>
      </c>
      <c r="F12" s="9" t="n">
        <f aca="false">IF(B12=0,"",D12/B12)</f>
        <v>0.764705882352941</v>
      </c>
      <c r="G12" s="17" t="n">
        <v>0.582</v>
      </c>
    </row>
    <row r="13" customFormat="false" ht="15" hidden="false" customHeight="false" outlineLevel="0" collapsed="false">
      <c r="A13" s="6" t="s">
        <v>191</v>
      </c>
      <c r="B13" s="7" t="n">
        <v>7</v>
      </c>
      <c r="C13" s="7" t="n">
        <v>6</v>
      </c>
      <c r="D13" s="7" t="n">
        <v>4</v>
      </c>
      <c r="E13" s="9" t="n">
        <f aca="false">IF(C13=0,"",D13/C13)</f>
        <v>0.666666666666667</v>
      </c>
      <c r="F13" s="9" t="n">
        <f aca="false">IF(B13=0,"",D13/B13)</f>
        <v>0.571428571428571</v>
      </c>
      <c r="G13" s="17" t="n">
        <v>0.481</v>
      </c>
    </row>
    <row r="14" customFormat="false" ht="15" hidden="false" customHeight="false" outlineLevel="0" collapsed="false">
      <c r="A14" s="6" t="s">
        <v>193</v>
      </c>
      <c r="B14" s="7" t="n">
        <v>10</v>
      </c>
      <c r="C14" s="7" t="n">
        <v>7</v>
      </c>
      <c r="D14" s="7" t="n">
        <v>5</v>
      </c>
      <c r="E14" s="9" t="n">
        <f aca="false">IF(C14=0,"",D14/C14)</f>
        <v>0.714285714285714</v>
      </c>
      <c r="F14" s="9" t="n">
        <f aca="false">IF(B14=0,"",D14/B14)</f>
        <v>0.5</v>
      </c>
      <c r="G14" s="17" t="n">
        <v>0.386</v>
      </c>
    </row>
    <row r="15" customFormat="false" ht="15" hidden="false" customHeight="false" outlineLevel="0" collapsed="false">
      <c r="A15" s="2" t="s">
        <v>280</v>
      </c>
    </row>
    <row r="16" customFormat="false" ht="15" hidden="false" customHeight="false" outlineLevel="0" collapsed="false">
      <c r="A16" s="6" t="s">
        <v>139</v>
      </c>
      <c r="B16" s="7" t="n">
        <v>6</v>
      </c>
      <c r="C16" s="7" t="n">
        <v>4</v>
      </c>
      <c r="D16" s="7" t="n">
        <v>2</v>
      </c>
      <c r="E16" s="9" t="n">
        <f aca="false">IF(C16=0,"",D16/C16)</f>
        <v>0.5</v>
      </c>
      <c r="F16" s="9" t="n">
        <f aca="false">IF(B16=0,"",D16/B16)</f>
        <v>0.333333333333333</v>
      </c>
      <c r="G16" s="17" t="n">
        <v>0.257</v>
      </c>
    </row>
    <row r="17" customFormat="false" ht="15" hidden="false" customHeight="false" outlineLevel="0" collapsed="false">
      <c r="A17" s="6" t="s">
        <v>140</v>
      </c>
      <c r="B17" s="7" t="n">
        <v>3</v>
      </c>
      <c r="C17" s="7" t="n">
        <v>3</v>
      </c>
      <c r="D17" s="7" t="n">
        <v>2</v>
      </c>
      <c r="E17" s="9" t="n">
        <f aca="false">IF(C17=0,"",D17/C17)</f>
        <v>0.666666666666667</v>
      </c>
      <c r="F17" s="9" t="n">
        <f aca="false">IF(B17=0,"",D17/B17)</f>
        <v>0.666666666666667</v>
      </c>
      <c r="G17" s="17" t="n">
        <v>0.621</v>
      </c>
    </row>
    <row r="18" customFormat="false" ht="15" hidden="false" customHeight="false" outlineLevel="0" collapsed="false">
      <c r="A18" s="6" t="s">
        <v>141</v>
      </c>
      <c r="B18" s="7" t="n">
        <v>2</v>
      </c>
      <c r="C18" s="7" t="n">
        <v>2</v>
      </c>
      <c r="D18" s="7" t="n">
        <v>1</v>
      </c>
      <c r="E18" s="9" t="n">
        <f aca="false">IF(C18=0,"",D18/C18)</f>
        <v>0.5</v>
      </c>
      <c r="F18" s="9" t="n">
        <f aca="false">IF(B18=0,"",D18/B18)</f>
        <v>0.5</v>
      </c>
      <c r="G18" s="17" t="n">
        <v>0.457</v>
      </c>
    </row>
    <row r="19" customFormat="false" ht="15" hidden="false" customHeight="false" outlineLevel="0" collapsed="false">
      <c r="A19" s="6" t="s">
        <v>142</v>
      </c>
      <c r="B19" s="7" t="n">
        <v>3</v>
      </c>
      <c r="C19" s="7" t="n">
        <v>2</v>
      </c>
      <c r="D19" s="7" t="n">
        <v>2</v>
      </c>
      <c r="E19" s="9" t="n">
        <f aca="false">IF(C19=0,"",D19/C19)</f>
        <v>1</v>
      </c>
      <c r="F19" s="9" t="n">
        <f aca="false">IF(B19=0,"",D19/B19)</f>
        <v>0.666666666666667</v>
      </c>
      <c r="G19" s="17" t="n">
        <v>0.779</v>
      </c>
    </row>
    <row r="20" customFormat="false" ht="15" hidden="false" customHeight="false" outlineLevel="0" collapsed="false">
      <c r="A20" s="6" t="s">
        <v>143</v>
      </c>
      <c r="B20" s="7" t="n">
        <v>4</v>
      </c>
      <c r="C20" s="7" t="n">
        <v>3</v>
      </c>
      <c r="D20" s="7" t="n">
        <v>3</v>
      </c>
      <c r="E20" s="9" t="n">
        <f aca="false">IF(C20=0,"",D20/C20)</f>
        <v>1</v>
      </c>
      <c r="F20" s="9" t="n">
        <f aca="false">IF(B20=0,"",D20/B20)</f>
        <v>0.75</v>
      </c>
      <c r="G20" s="17" t="n">
        <v>0.834</v>
      </c>
    </row>
    <row r="21" customFormat="false" ht="15" hidden="false" customHeight="false" outlineLevel="0" collapsed="false">
      <c r="A21" s="2" t="s">
        <v>281</v>
      </c>
    </row>
    <row r="22" customFormat="false" ht="15" hidden="false" customHeight="false" outlineLevel="0" collapsed="false">
      <c r="A22" s="6" t="s">
        <v>131</v>
      </c>
      <c r="B22" s="7" t="n">
        <v>5</v>
      </c>
      <c r="C22" s="7" t="n">
        <v>5</v>
      </c>
      <c r="D22" s="7" t="n">
        <v>5</v>
      </c>
      <c r="E22" s="9" t="n">
        <f aca="false">IF(C22=0,"",D22/C22)</f>
        <v>1</v>
      </c>
      <c r="F22" s="9" t="n">
        <f aca="false">IF(B22=0,"",D22/B22)</f>
        <v>1</v>
      </c>
      <c r="G22" s="17" t="n">
        <v>1</v>
      </c>
    </row>
    <row r="23" customFormat="false" ht="15" hidden="false" customHeight="false" outlineLevel="0" collapsed="false">
      <c r="A23" s="6" t="s">
        <v>134</v>
      </c>
      <c r="B23" s="7" t="n">
        <v>6</v>
      </c>
      <c r="C23" s="7" t="n">
        <v>1</v>
      </c>
      <c r="D23" s="7" t="n">
        <v>1</v>
      </c>
      <c r="E23" s="9" t="n">
        <f aca="false">IF(C23=0,"",D23/C23)</f>
        <v>1</v>
      </c>
      <c r="F23" s="9" t="n">
        <f aca="false">IF(B23=0,"",D23/B23)</f>
        <v>0.166666666666667</v>
      </c>
      <c r="G23" s="17" t="n">
        <v>0.233</v>
      </c>
    </row>
    <row r="24" customFormat="false" ht="15" hidden="false" customHeight="false" outlineLevel="0" collapsed="false">
      <c r="A24" s="6" t="s">
        <v>133</v>
      </c>
      <c r="B24" s="7" t="n">
        <v>7</v>
      </c>
      <c r="C24" s="7" t="n">
        <v>7</v>
      </c>
      <c r="D24" s="7" t="n">
        <v>6</v>
      </c>
      <c r="E24" s="9" t="n">
        <f aca="false">IF(C24=0,"",D24/C24)</f>
        <v>0.857142857142857</v>
      </c>
      <c r="F24" s="9" t="n">
        <f aca="false">IF(B24=0,"",D24/B24)</f>
        <v>0.857142857142857</v>
      </c>
      <c r="G24" s="17" t="n">
        <v>0.802</v>
      </c>
    </row>
    <row r="25" customFormat="false" ht="15" hidden="false" customHeight="false" outlineLevel="0" collapsed="false">
      <c r="A25" s="6" t="s">
        <v>132</v>
      </c>
      <c r="B25" s="7" t="n">
        <v>11</v>
      </c>
      <c r="C25" s="7" t="n">
        <v>9</v>
      </c>
      <c r="D25" s="7" t="n">
        <v>6</v>
      </c>
      <c r="E25" s="9" t="n">
        <f aca="false">IF(C25=0,"",D25/C25)</f>
        <v>0.666666666666667</v>
      </c>
      <c r="F25" s="9" t="n">
        <f aca="false">IF(B25=0,"",D25/B25)</f>
        <v>0.545454545454545</v>
      </c>
      <c r="G25" s="17" t="n">
        <v>0.338</v>
      </c>
    </row>
    <row r="26" customFormat="false" ht="15" hidden="false" customHeight="false" outlineLevel="0" collapsed="false">
      <c r="A26" s="6" t="s">
        <v>135</v>
      </c>
      <c r="B26" s="7" t="n">
        <v>7</v>
      </c>
      <c r="C26" s="7" t="n">
        <v>1</v>
      </c>
      <c r="D26" s="7" t="n">
        <v>1</v>
      </c>
      <c r="E26" s="9" t="n">
        <f aca="false">IF(C26=0,"",D26/C26)</f>
        <v>1</v>
      </c>
      <c r="F26" s="9" t="n">
        <f aca="false">IF(B26=0,"",D26/B26)</f>
        <v>0.142857142857143</v>
      </c>
      <c r="G26" s="17" t="n">
        <v>0.194</v>
      </c>
    </row>
    <row r="27" customFormat="false" ht="15" hidden="false" customHeight="false" outlineLevel="0" collapsed="false">
      <c r="A27" s="6" t="s">
        <v>136</v>
      </c>
      <c r="B27" s="7" t="n">
        <v>1</v>
      </c>
      <c r="C27" s="7" t="n">
        <v>0</v>
      </c>
      <c r="D27" s="7" t="n">
        <v>0</v>
      </c>
      <c r="E27" s="9" t="str">
        <f aca="false">IF(C27=0,"",D27/C27)</f>
        <v/>
      </c>
      <c r="F27" s="9" t="n">
        <f aca="false">IF(B27=0,"",D27/B27)</f>
        <v>0</v>
      </c>
      <c r="G27" s="17" t="n">
        <v>0</v>
      </c>
    </row>
    <row r="28" customFormat="false" ht="15" hidden="false" customHeight="false" outlineLevel="0" collapsed="false">
      <c r="A28" s="6" t="s">
        <v>282</v>
      </c>
      <c r="B28" s="7" t="n">
        <v>6</v>
      </c>
      <c r="C28" s="7" t="n">
        <v>3</v>
      </c>
      <c r="D28" s="7" t="n">
        <v>3</v>
      </c>
      <c r="E28" s="9" t="n">
        <f aca="false">IF(C28=0,"",D28/C28)</f>
        <v>1</v>
      </c>
      <c r="F28" s="9" t="n">
        <f aca="false">IF(B28=0,"",D28/B28)</f>
        <v>0.5</v>
      </c>
      <c r="G28" s="17" t="n">
        <v>0.603</v>
      </c>
    </row>
    <row r="29" customFormat="false" ht="15" hidden="false" customHeight="false" outlineLevel="0" collapsed="false">
      <c r="A29" s="6" t="s">
        <v>283</v>
      </c>
      <c r="B29" s="7" t="n">
        <v>5</v>
      </c>
      <c r="C29" s="7" t="n">
        <v>1</v>
      </c>
      <c r="D29" s="7" t="n">
        <v>1</v>
      </c>
      <c r="E29" s="9" t="n">
        <f aca="false">IF(C29=0,"",D29/C29)</f>
        <v>1</v>
      </c>
      <c r="F29" s="9" t="n">
        <f aca="false">IF(B29=0,"",D29/B29)</f>
        <v>0.2</v>
      </c>
      <c r="G29" s="17" t="n">
        <v>0.286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6"/>
    <col collapsed="false" customWidth="true" hidden="false" outlineLevel="0" max="4" min="4" style="0" width="40"/>
    <col collapsed="false" customWidth="true" hidden="false" outlineLevel="0" max="5" min="5" style="0" width="8"/>
    <col collapsed="false" customWidth="true" hidden="false" outlineLevel="0" max="6" min="6" style="0" width="60"/>
    <col collapsed="false" customWidth="true" hidden="false" outlineLevel="0" max="7" min="7" style="0" width="34"/>
    <col collapsed="false" customWidth="true" hidden="false" outlineLevel="0" max="9" min="8" style="0" width="8"/>
    <col collapsed="false" customWidth="true" hidden="false" outlineLevel="0" max="10" min="10" style="0" width="12"/>
    <col collapsed="false" customWidth="true" hidden="false" outlineLevel="0" max="11" min="11" style="0" width="9"/>
    <col collapsed="false" customWidth="true" hidden="false" outlineLevel="0" max="12" min="12" style="0" width="26"/>
    <col collapsed="false" customWidth="true" hidden="false" outlineLevel="0" max="14" min="13" style="0" width="9"/>
    <col collapsed="false" customWidth="true" hidden="false" outlineLevel="0" max="36" min="15" style="0" width="12"/>
  </cols>
  <sheetData>
    <row r="1" customFormat="false" ht="16.15" hidden="false" customHeight="false" outlineLevel="0" collapsed="false">
      <c r="A1" s="1" t="s">
        <v>284</v>
      </c>
    </row>
    <row r="2" customFormat="false" ht="15" hidden="false" customHeight="false" outlineLevel="0" collapsed="false">
      <c r="A2" s="4" t="s">
        <v>285</v>
      </c>
    </row>
    <row r="3" customFormat="false" ht="90.25" hidden="false" customHeight="false" outlineLevel="0" collapsed="false">
      <c r="A3" s="5" t="s">
        <v>286</v>
      </c>
      <c r="B3" s="5" t="s">
        <v>229</v>
      </c>
      <c r="C3" s="5" t="s">
        <v>46</v>
      </c>
      <c r="D3" s="5" t="s">
        <v>15</v>
      </c>
      <c r="E3" s="5" t="s">
        <v>287</v>
      </c>
      <c r="F3" s="5" t="s">
        <v>226</v>
      </c>
      <c r="G3" s="5" t="s">
        <v>225</v>
      </c>
      <c r="H3" s="5" t="s">
        <v>288</v>
      </c>
      <c r="I3" s="5" t="s">
        <v>289</v>
      </c>
      <c r="J3" s="5" t="s">
        <v>290</v>
      </c>
      <c r="K3" s="5" t="s">
        <v>195</v>
      </c>
      <c r="L3" s="5" t="s">
        <v>113</v>
      </c>
      <c r="M3" s="5" t="s">
        <v>227</v>
      </c>
      <c r="N3" s="5" t="s">
        <v>291</v>
      </c>
      <c r="O3" s="5" t="s">
        <v>185</v>
      </c>
      <c r="P3" s="5" t="s">
        <v>186</v>
      </c>
      <c r="Q3" s="5" t="s">
        <v>187</v>
      </c>
      <c r="R3" s="5" t="s">
        <v>188</v>
      </c>
      <c r="S3" s="5" t="s">
        <v>194</v>
      </c>
      <c r="T3" s="5" t="s">
        <v>192</v>
      </c>
      <c r="U3" s="5" t="s">
        <v>190</v>
      </c>
      <c r="V3" s="5" t="s">
        <v>191</v>
      </c>
      <c r="W3" s="5" t="s">
        <v>193</v>
      </c>
      <c r="X3" s="5" t="s">
        <v>139</v>
      </c>
      <c r="Y3" s="5" t="s">
        <v>140</v>
      </c>
      <c r="Z3" s="5" t="s">
        <v>141</v>
      </c>
      <c r="AA3" s="5" t="s">
        <v>142</v>
      </c>
      <c r="AB3" s="5" t="s">
        <v>143</v>
      </c>
      <c r="AC3" s="5" t="s">
        <v>131</v>
      </c>
      <c r="AD3" s="5" t="s">
        <v>134</v>
      </c>
      <c r="AE3" s="5" t="s">
        <v>133</v>
      </c>
      <c r="AF3" s="5" t="s">
        <v>132</v>
      </c>
      <c r="AG3" s="5" t="s">
        <v>135</v>
      </c>
      <c r="AH3" s="5" t="s">
        <v>136</v>
      </c>
      <c r="AI3" s="5" t="s">
        <v>282</v>
      </c>
      <c r="AJ3" s="5" t="s">
        <v>283</v>
      </c>
    </row>
    <row r="4" customFormat="false" ht="15" hidden="false" customHeight="false" outlineLevel="0" collapsed="false">
      <c r="A4" s="6" t="s">
        <v>292</v>
      </c>
      <c r="B4" s="6" t="s">
        <v>293</v>
      </c>
      <c r="C4" s="6" t="n">
        <v>2026</v>
      </c>
      <c r="D4" s="6" t="s">
        <v>294</v>
      </c>
      <c r="E4" s="6" t="n">
        <v>1</v>
      </c>
      <c r="F4" s="6" t="s">
        <v>295</v>
      </c>
      <c r="G4" s="6" t="s">
        <v>296</v>
      </c>
      <c r="H4" s="6" t="s">
        <v>297</v>
      </c>
      <c r="I4" s="6" t="s">
        <v>298</v>
      </c>
      <c r="J4" s="6" t="s">
        <v>299</v>
      </c>
      <c r="K4" s="6" t="s">
        <v>47</v>
      </c>
      <c r="L4" s="6" t="s">
        <v>87</v>
      </c>
      <c r="M4" s="6" t="n">
        <v>1</v>
      </c>
      <c r="N4" s="6" t="s">
        <v>300</v>
      </c>
      <c r="O4" s="6"/>
      <c r="P4" s="6"/>
      <c r="Q4" s="6"/>
      <c r="R4" s="6"/>
      <c r="S4" s="6"/>
      <c r="T4" s="6"/>
      <c r="U4" s="6"/>
      <c r="V4" s="6"/>
      <c r="W4" s="6"/>
      <c r="X4" s="6" t="n">
        <v>1</v>
      </c>
      <c r="Y4" s="6" t="n">
        <v>1</v>
      </c>
      <c r="Z4" s="6"/>
      <c r="AA4" s="6" t="n">
        <v>1</v>
      </c>
      <c r="AB4" s="6"/>
      <c r="AC4" s="6" t="n">
        <v>1</v>
      </c>
      <c r="AD4" s="6"/>
      <c r="AE4" s="6"/>
      <c r="AF4" s="6" t="n">
        <v>1</v>
      </c>
      <c r="AG4" s="6"/>
      <c r="AH4" s="6"/>
      <c r="AI4" s="6"/>
      <c r="AJ4" s="6"/>
    </row>
    <row r="5" customFormat="false" ht="15" hidden="false" customHeight="false" outlineLevel="0" collapsed="false">
      <c r="A5" s="6" t="s">
        <v>301</v>
      </c>
      <c r="B5" s="6" t="s">
        <v>302</v>
      </c>
      <c r="C5" s="6" t="n">
        <v>2020</v>
      </c>
      <c r="D5" s="6" t="s">
        <v>303</v>
      </c>
      <c r="E5" s="6" t="n">
        <v>2</v>
      </c>
      <c r="F5" s="6" t="s">
        <v>304</v>
      </c>
      <c r="G5" s="6" t="s">
        <v>305</v>
      </c>
      <c r="H5" s="6" t="s">
        <v>306</v>
      </c>
      <c r="I5" s="6" t="s">
        <v>307</v>
      </c>
      <c r="J5" s="6" t="s">
        <v>308</v>
      </c>
      <c r="K5" s="6" t="s">
        <v>47</v>
      </c>
      <c r="L5" s="6" t="s">
        <v>72</v>
      </c>
      <c r="M5" s="6" t="n">
        <v>10</v>
      </c>
      <c r="N5" s="6" t="s">
        <v>309</v>
      </c>
      <c r="O5" s="6"/>
      <c r="P5" s="6" t="n">
        <v>1</v>
      </c>
      <c r="Q5" s="6"/>
      <c r="R5" s="6"/>
      <c r="S5" s="6"/>
      <c r="T5" s="6" t="n">
        <v>1</v>
      </c>
      <c r="U5" s="6" t="n">
        <v>1</v>
      </c>
      <c r="V5" s="6"/>
      <c r="W5" s="6" t="n">
        <v>1</v>
      </c>
      <c r="X5" s="6"/>
      <c r="Y5" s="6"/>
      <c r="Z5" s="6"/>
      <c r="AA5" s="6" t="n">
        <v>1</v>
      </c>
      <c r="AB5" s="6"/>
      <c r="AC5" s="6"/>
      <c r="AD5" s="6"/>
      <c r="AE5" s="6"/>
      <c r="AF5" s="6"/>
      <c r="AG5" s="6"/>
      <c r="AH5" s="6"/>
      <c r="AI5" s="6"/>
      <c r="AJ5" s="6"/>
    </row>
    <row r="6" customFormat="false" ht="15" hidden="false" customHeight="false" outlineLevel="0" collapsed="false">
      <c r="A6" s="6" t="s">
        <v>310</v>
      </c>
      <c r="B6" s="6" t="s">
        <v>311</v>
      </c>
      <c r="C6" s="6" t="n">
        <v>2021</v>
      </c>
      <c r="D6" s="6" t="s">
        <v>312</v>
      </c>
      <c r="E6" s="6" t="n">
        <v>2</v>
      </c>
      <c r="F6" s="6" t="s">
        <v>313</v>
      </c>
      <c r="G6" s="6" t="s">
        <v>314</v>
      </c>
      <c r="H6" s="6" t="s">
        <v>315</v>
      </c>
      <c r="I6" s="6" t="s">
        <v>316</v>
      </c>
      <c r="J6" s="6" t="s">
        <v>317</v>
      </c>
      <c r="K6" s="6" t="s">
        <v>47</v>
      </c>
      <c r="L6" s="6" t="s">
        <v>72</v>
      </c>
      <c r="M6" s="6" t="n">
        <v>21</v>
      </c>
      <c r="N6" s="6" t="s">
        <v>309</v>
      </c>
      <c r="O6" s="6"/>
      <c r="P6" s="6"/>
      <c r="Q6" s="6" t="n">
        <v>1</v>
      </c>
      <c r="R6" s="6" t="n">
        <v>1</v>
      </c>
      <c r="S6" s="6"/>
      <c r="T6" s="6"/>
      <c r="U6" s="6"/>
      <c r="V6" s="6"/>
      <c r="W6" s="6"/>
      <c r="X6" s="6"/>
      <c r="Y6" s="6"/>
      <c r="Z6" s="6"/>
      <c r="AA6" s="6" t="n">
        <v>1</v>
      </c>
      <c r="AB6" s="6"/>
      <c r="AC6" s="6"/>
      <c r="AD6" s="6"/>
      <c r="AE6" s="6"/>
      <c r="AF6" s="6"/>
      <c r="AG6" s="6"/>
      <c r="AH6" s="6"/>
      <c r="AI6" s="6"/>
      <c r="AJ6" s="6"/>
    </row>
    <row r="7" customFormat="false" ht="15" hidden="false" customHeight="false" outlineLevel="0" collapsed="false">
      <c r="A7" s="6" t="s">
        <v>318</v>
      </c>
      <c r="B7" s="6" t="s">
        <v>319</v>
      </c>
      <c r="C7" s="6" t="n">
        <v>2026</v>
      </c>
      <c r="D7" s="6" t="s">
        <v>320</v>
      </c>
      <c r="E7" s="6" t="n">
        <v>3</v>
      </c>
      <c r="F7" s="6" t="s">
        <v>321</v>
      </c>
      <c r="G7" s="6" t="s">
        <v>322</v>
      </c>
      <c r="H7" s="6" t="s">
        <v>323</v>
      </c>
      <c r="I7" s="6" t="s">
        <v>324</v>
      </c>
      <c r="J7" s="6" t="s">
        <v>325</v>
      </c>
      <c r="K7" s="6" t="s">
        <v>47</v>
      </c>
      <c r="L7" s="6" t="s">
        <v>326</v>
      </c>
      <c r="M7" s="6" t="n">
        <v>12</v>
      </c>
      <c r="N7" s="6" t="s">
        <v>300</v>
      </c>
      <c r="O7" s="6"/>
      <c r="P7" s="6"/>
      <c r="Q7" s="6" t="n">
        <v>1</v>
      </c>
      <c r="R7" s="6"/>
      <c r="S7" s="6"/>
      <c r="T7" s="6"/>
      <c r="U7" s="6" t="n">
        <v>1</v>
      </c>
      <c r="V7" s="6"/>
      <c r="W7" s="6"/>
      <c r="X7" s="6"/>
      <c r="Y7" s="6"/>
      <c r="Z7" s="6"/>
      <c r="AA7" s="6"/>
      <c r="AB7" s="6"/>
      <c r="AC7" s="6" t="n">
        <v>1</v>
      </c>
      <c r="AD7" s="6"/>
      <c r="AE7" s="6"/>
      <c r="AF7" s="6"/>
      <c r="AG7" s="6"/>
      <c r="AH7" s="6"/>
      <c r="AI7" s="6"/>
      <c r="AJ7" s="6"/>
    </row>
    <row r="8" customFormat="false" ht="15" hidden="false" customHeight="false" outlineLevel="0" collapsed="false">
      <c r="A8" s="6" t="s">
        <v>327</v>
      </c>
      <c r="B8" s="6" t="s">
        <v>328</v>
      </c>
      <c r="C8" s="6" t="n">
        <v>2023</v>
      </c>
      <c r="D8" s="6" t="s">
        <v>329</v>
      </c>
      <c r="E8" s="6" t="n">
        <v>1</v>
      </c>
      <c r="F8" s="6" t="s">
        <v>330</v>
      </c>
      <c r="G8" s="6" t="s">
        <v>331</v>
      </c>
      <c r="H8" s="6" t="s">
        <v>63</v>
      </c>
      <c r="I8" s="6" t="s">
        <v>332</v>
      </c>
      <c r="J8" s="6"/>
      <c r="K8" s="6" t="s">
        <v>47</v>
      </c>
      <c r="L8" s="6" t="s">
        <v>95</v>
      </c>
      <c r="M8" s="6" t="n">
        <v>3</v>
      </c>
      <c r="N8" s="6" t="s">
        <v>300</v>
      </c>
      <c r="O8" s="6"/>
      <c r="P8" s="6" t="n">
        <v>1</v>
      </c>
      <c r="Q8" s="6"/>
      <c r="R8" s="6"/>
      <c r="S8" s="6"/>
      <c r="T8" s="6"/>
      <c r="U8" s="6"/>
      <c r="V8" s="6"/>
      <c r="W8" s="6"/>
      <c r="X8" s="6"/>
      <c r="Y8" s="6"/>
      <c r="Z8" s="6"/>
      <c r="AA8" s="6"/>
      <c r="AB8" s="6"/>
      <c r="AC8" s="6"/>
      <c r="AD8" s="6"/>
      <c r="AE8" s="6"/>
      <c r="AF8" s="6"/>
      <c r="AG8" s="6"/>
      <c r="AH8" s="6"/>
      <c r="AI8" s="6"/>
      <c r="AJ8" s="6"/>
    </row>
    <row r="9" customFormat="false" ht="15" hidden="false" customHeight="false" outlineLevel="0" collapsed="false">
      <c r="A9" s="6" t="s">
        <v>333</v>
      </c>
      <c r="B9" s="6" t="s">
        <v>334</v>
      </c>
      <c r="C9" s="6" t="n">
        <v>2025</v>
      </c>
      <c r="D9" s="6" t="s">
        <v>335</v>
      </c>
      <c r="E9" s="6" t="n">
        <v>4</v>
      </c>
      <c r="F9" s="6" t="s">
        <v>336</v>
      </c>
      <c r="G9" s="6" t="s">
        <v>337</v>
      </c>
      <c r="H9" s="6" t="s">
        <v>338</v>
      </c>
      <c r="I9" s="6" t="s">
        <v>316</v>
      </c>
      <c r="J9" s="6" t="s">
        <v>339</v>
      </c>
      <c r="K9" s="6" t="s">
        <v>47</v>
      </c>
      <c r="L9" s="6" t="s">
        <v>105</v>
      </c>
      <c r="M9" s="6" t="n">
        <v>0</v>
      </c>
      <c r="N9" s="6" t="s">
        <v>300</v>
      </c>
      <c r="O9" s="6"/>
      <c r="P9" s="6"/>
      <c r="Q9" s="6"/>
      <c r="R9" s="6"/>
      <c r="S9" s="6"/>
      <c r="T9" s="6"/>
      <c r="U9" s="6"/>
      <c r="V9" s="6" t="n">
        <v>1</v>
      </c>
      <c r="W9" s="6"/>
      <c r="X9" s="6"/>
      <c r="Y9" s="6"/>
      <c r="Z9" s="6"/>
      <c r="AA9" s="6"/>
      <c r="AB9" s="6"/>
      <c r="AC9" s="6" t="n">
        <v>1</v>
      </c>
      <c r="AD9" s="6"/>
      <c r="AE9" s="6"/>
      <c r="AF9" s="6"/>
      <c r="AG9" s="6"/>
      <c r="AH9" s="6"/>
      <c r="AI9" s="6"/>
      <c r="AJ9" s="6"/>
    </row>
    <row r="10" customFormat="false" ht="15" hidden="false" customHeight="false" outlineLevel="0" collapsed="false">
      <c r="A10" s="6" t="s">
        <v>340</v>
      </c>
      <c r="B10" s="6" t="s">
        <v>341</v>
      </c>
      <c r="C10" s="6" t="n">
        <v>2026</v>
      </c>
      <c r="D10" s="6" t="s">
        <v>342</v>
      </c>
      <c r="E10" s="6" t="n">
        <v>4</v>
      </c>
      <c r="F10" s="6" t="s">
        <v>343</v>
      </c>
      <c r="G10" s="6" t="s">
        <v>344</v>
      </c>
      <c r="H10" s="6" t="s">
        <v>345</v>
      </c>
      <c r="I10" s="6" t="s">
        <v>316</v>
      </c>
      <c r="J10" s="6" t="s">
        <v>346</v>
      </c>
      <c r="K10" s="6" t="s">
        <v>47</v>
      </c>
      <c r="L10" s="6" t="s">
        <v>98</v>
      </c>
      <c r="M10" s="6" t="n">
        <v>0</v>
      </c>
      <c r="N10" s="6" t="s">
        <v>300</v>
      </c>
      <c r="O10" s="6"/>
      <c r="P10" s="6"/>
      <c r="Q10" s="6" t="n">
        <v>1</v>
      </c>
      <c r="R10" s="6"/>
      <c r="S10" s="6"/>
      <c r="T10" s="6"/>
      <c r="U10" s="6" t="n">
        <v>1</v>
      </c>
      <c r="V10" s="6" t="n">
        <v>1</v>
      </c>
      <c r="W10" s="6"/>
      <c r="X10" s="6"/>
      <c r="Y10" s="6"/>
      <c r="Z10" s="6"/>
      <c r="AA10" s="6"/>
      <c r="AB10" s="6" t="n">
        <v>1</v>
      </c>
      <c r="AC10" s="6" t="n">
        <v>1</v>
      </c>
      <c r="AD10" s="6"/>
      <c r="AE10" s="6"/>
      <c r="AF10" s="6" t="n">
        <v>1</v>
      </c>
      <c r="AG10" s="6"/>
      <c r="AH10" s="6"/>
      <c r="AI10" s="6"/>
      <c r="AJ10" s="6"/>
    </row>
    <row r="11" customFormat="false" ht="15" hidden="false" customHeight="false" outlineLevel="0" collapsed="false">
      <c r="A11" s="6" t="s">
        <v>347</v>
      </c>
      <c r="B11" s="6" t="s">
        <v>348</v>
      </c>
      <c r="C11" s="6" t="n">
        <v>2026</v>
      </c>
      <c r="D11" s="6" t="s">
        <v>349</v>
      </c>
      <c r="E11" s="6" t="n">
        <v>3</v>
      </c>
      <c r="F11" s="6" t="s">
        <v>350</v>
      </c>
      <c r="G11" s="6" t="s">
        <v>351</v>
      </c>
      <c r="H11" s="6" t="s">
        <v>352</v>
      </c>
      <c r="I11" s="6" t="s">
        <v>353</v>
      </c>
      <c r="J11" s="6" t="s">
        <v>354</v>
      </c>
      <c r="K11" s="6" t="s">
        <v>48</v>
      </c>
      <c r="L11" s="6" t="s">
        <v>74</v>
      </c>
      <c r="M11" s="6" t="n">
        <v>0</v>
      </c>
      <c r="N11" s="6" t="s">
        <v>300</v>
      </c>
      <c r="O11" s="6" t="n">
        <v>1</v>
      </c>
      <c r="P11" s="6"/>
      <c r="Q11" s="6"/>
      <c r="R11" s="6"/>
      <c r="S11" s="6"/>
      <c r="T11" s="6"/>
      <c r="U11" s="6" t="n">
        <v>1</v>
      </c>
      <c r="V11" s="6" t="n">
        <v>1</v>
      </c>
      <c r="W11" s="6"/>
      <c r="X11" s="6"/>
      <c r="Y11" s="6"/>
      <c r="Z11" s="6"/>
      <c r="AA11" s="6"/>
      <c r="AB11" s="6"/>
      <c r="AC11" s="6"/>
      <c r="AD11" s="6"/>
      <c r="AE11" s="6" t="n">
        <v>1</v>
      </c>
      <c r="AF11" s="6"/>
      <c r="AG11" s="6"/>
      <c r="AH11" s="6"/>
      <c r="AI11" s="6"/>
      <c r="AJ11" s="6"/>
    </row>
    <row r="12" customFormat="false" ht="15" hidden="false" customHeight="false" outlineLevel="0" collapsed="false">
      <c r="A12" s="6" t="s">
        <v>355</v>
      </c>
      <c r="B12" s="6" t="s">
        <v>356</v>
      </c>
      <c r="C12" s="6" t="n">
        <v>2026</v>
      </c>
      <c r="D12" s="6" t="s">
        <v>357</v>
      </c>
      <c r="E12" s="6" t="n">
        <v>2</v>
      </c>
      <c r="F12" s="6" t="s">
        <v>358</v>
      </c>
      <c r="G12" s="6" t="s">
        <v>359</v>
      </c>
      <c r="H12" s="6" t="s">
        <v>360</v>
      </c>
      <c r="I12" s="6" t="s">
        <v>361</v>
      </c>
      <c r="J12" s="6" t="s">
        <v>362</v>
      </c>
      <c r="K12" s="6" t="s">
        <v>47</v>
      </c>
      <c r="L12" s="6" t="s">
        <v>94</v>
      </c>
      <c r="M12" s="6" t="n">
        <v>1</v>
      </c>
      <c r="N12" s="6" t="s">
        <v>300</v>
      </c>
      <c r="O12" s="6"/>
      <c r="P12" s="6" t="n">
        <v>1</v>
      </c>
      <c r="Q12" s="6"/>
      <c r="R12" s="6"/>
      <c r="S12" s="6"/>
      <c r="T12" s="6"/>
      <c r="U12" s="6" t="n">
        <v>1</v>
      </c>
      <c r="V12" s="6"/>
      <c r="W12" s="6"/>
      <c r="X12" s="6"/>
      <c r="Y12" s="6"/>
      <c r="Z12" s="6"/>
      <c r="AA12" s="6"/>
      <c r="AB12" s="6"/>
      <c r="AC12" s="6"/>
      <c r="AD12" s="6"/>
      <c r="AE12" s="6" t="n">
        <v>1</v>
      </c>
      <c r="AF12" s="6" t="n">
        <v>1</v>
      </c>
      <c r="AG12" s="6"/>
      <c r="AH12" s="6"/>
      <c r="AI12" s="6" t="n">
        <v>1</v>
      </c>
      <c r="AJ12" s="6"/>
    </row>
    <row r="13" customFormat="false" ht="15" hidden="false" customHeight="false" outlineLevel="0" collapsed="false">
      <c r="A13" s="6" t="s">
        <v>363</v>
      </c>
      <c r="B13" s="6" t="s">
        <v>364</v>
      </c>
      <c r="C13" s="6" t="n">
        <v>2023</v>
      </c>
      <c r="D13" s="6" t="s">
        <v>365</v>
      </c>
      <c r="E13" s="6" t="n">
        <v>4</v>
      </c>
      <c r="F13" s="6" t="s">
        <v>366</v>
      </c>
      <c r="G13" s="6" t="s">
        <v>367</v>
      </c>
      <c r="H13" s="6" t="s">
        <v>368</v>
      </c>
      <c r="I13" s="6"/>
      <c r="J13" s="6" t="s">
        <v>369</v>
      </c>
      <c r="K13" s="6" t="s">
        <v>47</v>
      </c>
      <c r="L13" s="6" t="s">
        <v>78</v>
      </c>
      <c r="M13" s="6" t="n">
        <v>6</v>
      </c>
      <c r="N13" s="6" t="s">
        <v>300</v>
      </c>
      <c r="O13" s="6"/>
      <c r="P13" s="6"/>
      <c r="Q13" s="6" t="n">
        <v>1</v>
      </c>
      <c r="R13" s="6" t="n">
        <v>1</v>
      </c>
      <c r="S13" s="6"/>
      <c r="T13" s="6"/>
      <c r="U13" s="6"/>
      <c r="V13" s="6"/>
      <c r="W13" s="6" t="n">
        <v>1</v>
      </c>
      <c r="X13" s="6"/>
      <c r="Y13" s="6"/>
      <c r="Z13" s="6"/>
      <c r="AA13" s="6" t="n">
        <v>1</v>
      </c>
      <c r="AB13" s="6"/>
      <c r="AC13" s="6" t="n">
        <v>1</v>
      </c>
      <c r="AD13" s="6"/>
      <c r="AE13" s="6"/>
      <c r="AF13" s="6" t="n">
        <v>1</v>
      </c>
      <c r="AG13" s="6"/>
      <c r="AH13" s="6"/>
      <c r="AI13" s="6"/>
      <c r="AJ13" s="6"/>
    </row>
    <row r="14" customFormat="false" ht="15" hidden="false" customHeight="false" outlineLevel="0" collapsed="false">
      <c r="A14" s="6" t="s">
        <v>370</v>
      </c>
      <c r="B14" s="6" t="s">
        <v>371</v>
      </c>
      <c r="C14" s="6" t="n">
        <v>2022</v>
      </c>
      <c r="D14" s="6" t="s">
        <v>372</v>
      </c>
      <c r="E14" s="6" t="n">
        <v>3</v>
      </c>
      <c r="F14" s="6" t="s">
        <v>373</v>
      </c>
      <c r="G14" s="6" t="s">
        <v>374</v>
      </c>
      <c r="H14" s="6" t="s">
        <v>375</v>
      </c>
      <c r="I14" s="6" t="s">
        <v>316</v>
      </c>
      <c r="J14" s="6" t="s">
        <v>376</v>
      </c>
      <c r="K14" s="6" t="s">
        <v>47</v>
      </c>
      <c r="L14" s="6" t="s">
        <v>82</v>
      </c>
      <c r="M14" s="6" t="n">
        <v>23</v>
      </c>
      <c r="N14" s="6" t="s">
        <v>300</v>
      </c>
      <c r="O14" s="6"/>
      <c r="P14" s="6"/>
      <c r="Q14" s="6"/>
      <c r="R14" s="6"/>
      <c r="S14" s="6"/>
      <c r="T14" s="6" t="n">
        <v>1</v>
      </c>
      <c r="U14" s="6"/>
      <c r="V14" s="6"/>
      <c r="W14" s="6" t="n">
        <v>1</v>
      </c>
      <c r="X14" s="6"/>
      <c r="Y14" s="6"/>
      <c r="Z14" s="6"/>
      <c r="AA14" s="6" t="n">
        <v>1</v>
      </c>
      <c r="AB14" s="6"/>
      <c r="AC14" s="6" t="n">
        <v>1</v>
      </c>
      <c r="AD14" s="6"/>
      <c r="AE14" s="6"/>
      <c r="AF14" s="6" t="n">
        <v>1</v>
      </c>
      <c r="AG14" s="6"/>
      <c r="AH14" s="6"/>
      <c r="AI14" s="6"/>
      <c r="AJ14" s="6"/>
    </row>
    <row r="15" customFormat="false" ht="15" hidden="false" customHeight="false" outlineLevel="0" collapsed="false">
      <c r="A15" s="6" t="s">
        <v>377</v>
      </c>
      <c r="B15" s="6" t="s">
        <v>378</v>
      </c>
      <c r="C15" s="6" t="n">
        <v>2020</v>
      </c>
      <c r="D15" s="6" t="s">
        <v>379</v>
      </c>
      <c r="E15" s="6" t="n">
        <v>2</v>
      </c>
      <c r="F15" s="6" t="s">
        <v>380</v>
      </c>
      <c r="G15" s="6" t="s">
        <v>381</v>
      </c>
      <c r="H15" s="6" t="s">
        <v>315</v>
      </c>
      <c r="I15" s="6" t="s">
        <v>316</v>
      </c>
      <c r="J15" s="6" t="s">
        <v>382</v>
      </c>
      <c r="K15" s="6" t="s">
        <v>47</v>
      </c>
      <c r="L15" s="6" t="s">
        <v>76</v>
      </c>
      <c r="M15" s="6" t="n">
        <v>11</v>
      </c>
      <c r="N15" s="6" t="s">
        <v>309</v>
      </c>
      <c r="O15" s="6"/>
      <c r="P15" s="6"/>
      <c r="Q15" s="6"/>
      <c r="R15" s="6" t="n">
        <v>1</v>
      </c>
      <c r="S15" s="6"/>
      <c r="T15" s="6" t="n">
        <v>1</v>
      </c>
      <c r="U15" s="6"/>
      <c r="V15" s="6"/>
      <c r="W15" s="6"/>
      <c r="X15" s="6"/>
      <c r="Y15" s="6"/>
      <c r="Z15" s="6"/>
      <c r="AA15" s="6"/>
      <c r="AB15" s="6"/>
      <c r="AC15" s="6"/>
      <c r="AD15" s="6"/>
      <c r="AE15" s="6"/>
      <c r="AF15" s="6"/>
      <c r="AG15" s="6"/>
      <c r="AH15" s="6"/>
      <c r="AI15" s="6"/>
      <c r="AJ15" s="6"/>
    </row>
    <row r="16" customFormat="false" ht="15" hidden="false" customHeight="false" outlineLevel="0" collapsed="false">
      <c r="A16" s="6" t="s">
        <v>383</v>
      </c>
      <c r="B16" s="6" t="s">
        <v>384</v>
      </c>
      <c r="C16" s="6" t="n">
        <v>2021</v>
      </c>
      <c r="D16" s="6" t="s">
        <v>385</v>
      </c>
      <c r="E16" s="6" t="n">
        <v>5</v>
      </c>
      <c r="F16" s="6" t="s">
        <v>386</v>
      </c>
      <c r="G16" s="6" t="s">
        <v>387</v>
      </c>
      <c r="H16" s="6" t="s">
        <v>388</v>
      </c>
      <c r="I16" s="6"/>
      <c r="J16" s="6" t="s">
        <v>389</v>
      </c>
      <c r="K16" s="6" t="s">
        <v>47</v>
      </c>
      <c r="L16" s="6" t="s">
        <v>72</v>
      </c>
      <c r="M16" s="6" t="n">
        <v>29</v>
      </c>
      <c r="N16" s="6" t="s">
        <v>309</v>
      </c>
      <c r="O16" s="6"/>
      <c r="P16" s="6"/>
      <c r="Q16" s="6" t="n">
        <v>1</v>
      </c>
      <c r="R16" s="6"/>
      <c r="S16" s="6"/>
      <c r="T16" s="6"/>
      <c r="U16" s="6"/>
      <c r="V16" s="6"/>
      <c r="W16" s="6"/>
      <c r="X16" s="6"/>
      <c r="Y16" s="6"/>
      <c r="Z16" s="6"/>
      <c r="AA16" s="6"/>
      <c r="AB16" s="6"/>
      <c r="AC16" s="6"/>
      <c r="AD16" s="6"/>
      <c r="AE16" s="6"/>
      <c r="AF16" s="6"/>
      <c r="AG16" s="6" t="n">
        <v>1</v>
      </c>
      <c r="AH16" s="6"/>
      <c r="AI16" s="6"/>
      <c r="AJ16" s="6"/>
    </row>
    <row r="17" customFormat="false" ht="15" hidden="false" customHeight="false" outlineLevel="0" collapsed="false">
      <c r="A17" s="6" t="s">
        <v>390</v>
      </c>
      <c r="B17" s="6"/>
      <c r="C17" s="6" t="n">
        <v>2026</v>
      </c>
      <c r="D17" s="6" t="s">
        <v>391</v>
      </c>
      <c r="E17" s="6" t="n">
        <v>5</v>
      </c>
      <c r="F17" s="6" t="s">
        <v>392</v>
      </c>
      <c r="G17" s="6" t="s">
        <v>393</v>
      </c>
      <c r="H17" s="6" t="s">
        <v>394</v>
      </c>
      <c r="I17" s="6" t="s">
        <v>395</v>
      </c>
      <c r="J17" s="6" t="s">
        <v>396</v>
      </c>
      <c r="K17" s="6" t="s">
        <v>47</v>
      </c>
      <c r="L17" s="6" t="s">
        <v>99</v>
      </c>
      <c r="M17" s="6" t="n">
        <v>0</v>
      </c>
      <c r="N17" s="6" t="s">
        <v>309</v>
      </c>
      <c r="O17" s="6"/>
      <c r="P17" s="6"/>
      <c r="Q17" s="6" t="n">
        <v>1</v>
      </c>
      <c r="R17" s="6"/>
      <c r="S17" s="6"/>
      <c r="T17" s="6"/>
      <c r="U17" s="6"/>
      <c r="V17" s="6"/>
      <c r="W17" s="6" t="n">
        <v>1</v>
      </c>
      <c r="X17" s="6"/>
      <c r="Y17" s="6"/>
      <c r="Z17" s="6"/>
      <c r="AA17" s="6" t="n">
        <v>1</v>
      </c>
      <c r="AB17" s="6"/>
      <c r="AC17" s="6"/>
      <c r="AD17" s="6" t="n">
        <v>1</v>
      </c>
      <c r="AE17" s="6"/>
      <c r="AF17" s="6"/>
      <c r="AG17" s="6"/>
      <c r="AH17" s="6"/>
      <c r="AI17" s="6" t="n">
        <v>1</v>
      </c>
      <c r="AJ17" s="6"/>
    </row>
    <row r="18" customFormat="false" ht="15" hidden="false" customHeight="false" outlineLevel="0" collapsed="false">
      <c r="A18" s="6" t="s">
        <v>397</v>
      </c>
      <c r="B18" s="6" t="s">
        <v>398</v>
      </c>
      <c r="C18" s="6" t="n">
        <v>2023</v>
      </c>
      <c r="D18" s="6" t="s">
        <v>399</v>
      </c>
      <c r="E18" s="6" t="n">
        <v>3</v>
      </c>
      <c r="F18" s="6" t="s">
        <v>400</v>
      </c>
      <c r="G18" s="6" t="s">
        <v>401</v>
      </c>
      <c r="H18" s="6" t="s">
        <v>402</v>
      </c>
      <c r="I18" s="6" t="s">
        <v>324</v>
      </c>
      <c r="J18" s="6" t="s">
        <v>403</v>
      </c>
      <c r="K18" s="6" t="s">
        <v>47</v>
      </c>
      <c r="L18" s="6" t="s">
        <v>86</v>
      </c>
      <c r="M18" s="6" t="n">
        <v>35</v>
      </c>
      <c r="N18" s="6" t="s">
        <v>300</v>
      </c>
      <c r="O18" s="6"/>
      <c r="P18" s="6"/>
      <c r="Q18" s="6"/>
      <c r="R18" s="6" t="n">
        <v>1</v>
      </c>
      <c r="S18" s="6"/>
      <c r="T18" s="6"/>
      <c r="U18" s="6"/>
      <c r="V18" s="6"/>
      <c r="W18" s="6"/>
      <c r="X18" s="6"/>
      <c r="Y18" s="6" t="n">
        <v>1</v>
      </c>
      <c r="Z18" s="6"/>
      <c r="AA18" s="6"/>
      <c r="AB18" s="6"/>
      <c r="AC18" s="6"/>
      <c r="AD18" s="6"/>
      <c r="AE18" s="6"/>
      <c r="AF18" s="6"/>
      <c r="AG18" s="6"/>
      <c r="AH18" s="6"/>
      <c r="AI18" s="6" t="n">
        <v>1</v>
      </c>
      <c r="AJ18" s="6"/>
    </row>
    <row r="19" customFormat="false" ht="15" hidden="false" customHeight="false" outlineLevel="0" collapsed="false">
      <c r="A19" s="6" t="s">
        <v>404</v>
      </c>
      <c r="B19" s="6" t="s">
        <v>405</v>
      </c>
      <c r="C19" s="6" t="n">
        <v>2026</v>
      </c>
      <c r="D19" s="6" t="s">
        <v>406</v>
      </c>
      <c r="E19" s="6" t="n">
        <v>3</v>
      </c>
      <c r="F19" s="6" t="s">
        <v>407</v>
      </c>
      <c r="G19" s="6" t="s">
        <v>408</v>
      </c>
      <c r="H19" s="6" t="s">
        <v>345</v>
      </c>
      <c r="I19" s="6" t="s">
        <v>361</v>
      </c>
      <c r="J19" s="6" t="s">
        <v>409</v>
      </c>
      <c r="K19" s="6" t="s">
        <v>47</v>
      </c>
      <c r="L19" s="6" t="s">
        <v>86</v>
      </c>
      <c r="M19" s="6" t="n">
        <v>0</v>
      </c>
      <c r="N19" s="6" t="s">
        <v>300</v>
      </c>
      <c r="O19" s="6"/>
      <c r="P19" s="6"/>
      <c r="Q19" s="6" t="n">
        <v>1</v>
      </c>
      <c r="R19" s="6"/>
      <c r="S19" s="6"/>
      <c r="T19" s="6" t="n">
        <v>1</v>
      </c>
      <c r="U19" s="6"/>
      <c r="V19" s="6" t="n">
        <v>1</v>
      </c>
      <c r="W19" s="6"/>
      <c r="X19" s="6"/>
      <c r="Y19" s="6"/>
      <c r="Z19" s="6"/>
      <c r="AA19" s="6"/>
      <c r="AB19" s="6"/>
      <c r="AC19" s="6" t="n">
        <v>1</v>
      </c>
      <c r="AD19" s="6"/>
      <c r="AE19" s="6"/>
      <c r="AF19" s="6" t="n">
        <v>1</v>
      </c>
      <c r="AG19" s="6"/>
      <c r="AH19" s="6"/>
      <c r="AI19" s="6"/>
      <c r="AJ19" s="6"/>
    </row>
    <row r="20" customFormat="false" ht="15" hidden="false" customHeight="false" outlineLevel="0" collapsed="false">
      <c r="A20" s="6" t="s">
        <v>410</v>
      </c>
      <c r="B20" s="6" t="s">
        <v>411</v>
      </c>
      <c r="C20" s="6" t="n">
        <v>2026</v>
      </c>
      <c r="D20" s="6" t="s">
        <v>412</v>
      </c>
      <c r="E20" s="6" t="n">
        <v>3</v>
      </c>
      <c r="F20" s="6" t="s">
        <v>413</v>
      </c>
      <c r="G20" s="6" t="s">
        <v>414</v>
      </c>
      <c r="H20" s="6" t="s">
        <v>338</v>
      </c>
      <c r="I20" s="6" t="s">
        <v>415</v>
      </c>
      <c r="J20" s="6" t="s">
        <v>416</v>
      </c>
      <c r="K20" s="6" t="s">
        <v>47</v>
      </c>
      <c r="L20" s="6" t="s">
        <v>96</v>
      </c>
      <c r="M20" s="6" t="n">
        <v>9</v>
      </c>
      <c r="N20" s="6" t="s">
        <v>300</v>
      </c>
      <c r="O20" s="6"/>
      <c r="P20" s="6"/>
      <c r="Q20" s="6"/>
      <c r="R20" s="6"/>
      <c r="S20" s="6"/>
      <c r="T20" s="6"/>
      <c r="U20" s="6" t="n">
        <v>1</v>
      </c>
      <c r="V20" s="6"/>
      <c r="W20" s="6"/>
      <c r="X20" s="6"/>
      <c r="Y20" s="6"/>
      <c r="Z20" s="6"/>
      <c r="AA20" s="6"/>
      <c r="AB20" s="6"/>
      <c r="AC20" s="6"/>
      <c r="AD20" s="6"/>
      <c r="AE20" s="6" t="n">
        <v>1</v>
      </c>
      <c r="AF20" s="6"/>
      <c r="AG20" s="6"/>
      <c r="AH20" s="6"/>
      <c r="AI20" s="6" t="n">
        <v>1</v>
      </c>
      <c r="AJ20" s="6"/>
    </row>
    <row r="21" customFormat="false" ht="15" hidden="false" customHeight="false" outlineLevel="0" collapsed="false">
      <c r="A21" s="6" t="s">
        <v>417</v>
      </c>
      <c r="B21" s="6" t="s">
        <v>418</v>
      </c>
      <c r="C21" s="6" t="n">
        <v>2025</v>
      </c>
      <c r="D21" s="6" t="s">
        <v>419</v>
      </c>
      <c r="E21" s="6" t="n">
        <v>2</v>
      </c>
      <c r="F21" s="6" t="s">
        <v>420</v>
      </c>
      <c r="G21" s="6" t="s">
        <v>421</v>
      </c>
      <c r="H21" s="6" t="s">
        <v>422</v>
      </c>
      <c r="I21" s="6"/>
      <c r="J21" s="6" t="s">
        <v>423</v>
      </c>
      <c r="K21" s="6" t="s">
        <v>47</v>
      </c>
      <c r="L21" s="6" t="s">
        <v>72</v>
      </c>
      <c r="M21" s="6" t="n">
        <v>1</v>
      </c>
      <c r="N21" s="6" t="s">
        <v>300</v>
      </c>
      <c r="O21" s="6"/>
      <c r="P21" s="6"/>
      <c r="Q21" s="6" t="n">
        <v>1</v>
      </c>
      <c r="R21" s="6" t="n">
        <v>1</v>
      </c>
      <c r="S21" s="6"/>
      <c r="T21" s="6"/>
      <c r="U21" s="6" t="n">
        <v>1</v>
      </c>
      <c r="V21" s="6"/>
      <c r="W21" s="6"/>
      <c r="X21" s="6"/>
      <c r="Y21" s="6"/>
      <c r="Z21" s="6"/>
      <c r="AA21" s="6"/>
      <c r="AB21" s="6"/>
      <c r="AC21" s="6"/>
      <c r="AD21" s="6"/>
      <c r="AE21" s="6"/>
      <c r="AF21" s="6"/>
      <c r="AG21" s="6"/>
      <c r="AH21" s="6"/>
      <c r="AI21" s="6"/>
      <c r="AJ21" s="6"/>
    </row>
    <row r="22" customFormat="false" ht="15" hidden="false" customHeight="false" outlineLevel="0" collapsed="false">
      <c r="A22" s="6" t="s">
        <v>424</v>
      </c>
      <c r="B22" s="6" t="s">
        <v>425</v>
      </c>
      <c r="C22" s="6" t="n">
        <v>2026</v>
      </c>
      <c r="D22" s="6" t="s">
        <v>426</v>
      </c>
      <c r="E22" s="6" t="n">
        <v>1</v>
      </c>
      <c r="F22" s="6" t="s">
        <v>427</v>
      </c>
      <c r="G22" s="6" t="s">
        <v>387</v>
      </c>
      <c r="H22" s="6" t="s">
        <v>428</v>
      </c>
      <c r="I22" s="6"/>
      <c r="J22" s="6" t="s">
        <v>429</v>
      </c>
      <c r="K22" s="6" t="s">
        <v>47</v>
      </c>
      <c r="L22" s="6" t="s">
        <v>72</v>
      </c>
      <c r="M22" s="6" t="n">
        <v>0</v>
      </c>
      <c r="N22" s="6" t="s">
        <v>309</v>
      </c>
      <c r="O22" s="6"/>
      <c r="P22" s="6"/>
      <c r="Q22" s="6" t="n">
        <v>1</v>
      </c>
      <c r="R22" s="6"/>
      <c r="S22" s="6"/>
      <c r="T22" s="6" t="n">
        <v>1</v>
      </c>
      <c r="U22" s="6"/>
      <c r="V22" s="6"/>
      <c r="W22" s="6"/>
      <c r="X22" s="6"/>
      <c r="Y22" s="6"/>
      <c r="Z22" s="6"/>
      <c r="AA22" s="6"/>
      <c r="AB22" s="6"/>
      <c r="AC22" s="6" t="n">
        <v>1</v>
      </c>
      <c r="AD22" s="6"/>
      <c r="AE22" s="6"/>
      <c r="AF22" s="6" t="n">
        <v>1</v>
      </c>
      <c r="AG22" s="6" t="n">
        <v>1</v>
      </c>
      <c r="AH22" s="6"/>
      <c r="AI22" s="6"/>
      <c r="AJ22" s="6"/>
    </row>
    <row r="23" customFormat="false" ht="15" hidden="false" customHeight="false" outlineLevel="0" collapsed="false">
      <c r="A23" s="6" t="s">
        <v>430</v>
      </c>
      <c r="B23" s="6" t="s">
        <v>431</v>
      </c>
      <c r="C23" s="6" t="n">
        <v>2025</v>
      </c>
      <c r="D23" s="6" t="s">
        <v>432</v>
      </c>
      <c r="E23" s="6" t="n">
        <v>2</v>
      </c>
      <c r="F23" s="6" t="s">
        <v>433</v>
      </c>
      <c r="G23" s="6" t="s">
        <v>434</v>
      </c>
      <c r="H23" s="6" t="s">
        <v>435</v>
      </c>
      <c r="I23" s="6"/>
      <c r="J23" s="6" t="s">
        <v>436</v>
      </c>
      <c r="K23" s="6" t="s">
        <v>47</v>
      </c>
      <c r="L23" s="6" t="s">
        <v>80</v>
      </c>
      <c r="M23" s="6" t="n">
        <v>2</v>
      </c>
      <c r="N23" s="6" t="s">
        <v>309</v>
      </c>
      <c r="O23" s="6"/>
      <c r="P23" s="6"/>
      <c r="Q23" s="6" t="n">
        <v>1</v>
      </c>
      <c r="R23" s="6"/>
      <c r="S23" s="6"/>
      <c r="T23" s="6" t="n">
        <v>1</v>
      </c>
      <c r="U23" s="6" t="n">
        <v>1</v>
      </c>
      <c r="V23" s="6"/>
      <c r="W23" s="6"/>
      <c r="X23" s="6"/>
      <c r="Y23" s="6"/>
      <c r="Z23" s="6"/>
      <c r="AA23" s="6"/>
      <c r="AB23" s="6"/>
      <c r="AC23" s="6"/>
      <c r="AD23" s="6"/>
      <c r="AE23" s="6" t="n">
        <v>1</v>
      </c>
      <c r="AF23" s="6"/>
      <c r="AG23" s="6"/>
      <c r="AH23" s="6"/>
      <c r="AI23" s="6"/>
      <c r="AJ23" s="6"/>
    </row>
    <row r="24" customFormat="false" ht="15" hidden="false" customHeight="false" outlineLevel="0" collapsed="false">
      <c r="A24" s="6" t="s">
        <v>437</v>
      </c>
      <c r="B24" s="6" t="s">
        <v>438</v>
      </c>
      <c r="C24" s="6" t="n">
        <v>2025</v>
      </c>
      <c r="D24" s="6" t="s">
        <v>439</v>
      </c>
      <c r="E24" s="6" t="n">
        <v>3</v>
      </c>
      <c r="F24" s="6" t="s">
        <v>440</v>
      </c>
      <c r="G24" s="6" t="s">
        <v>367</v>
      </c>
      <c r="H24" s="6" t="s">
        <v>65</v>
      </c>
      <c r="I24" s="6" t="s">
        <v>441</v>
      </c>
      <c r="J24" s="6" t="s">
        <v>442</v>
      </c>
      <c r="K24" s="6" t="s">
        <v>48</v>
      </c>
      <c r="L24" s="6" t="s">
        <v>74</v>
      </c>
      <c r="M24" s="6" t="n">
        <v>1</v>
      </c>
      <c r="N24" s="6" t="s">
        <v>300</v>
      </c>
      <c r="O24" s="6"/>
      <c r="P24" s="6"/>
      <c r="Q24" s="6" t="n">
        <v>1</v>
      </c>
      <c r="R24" s="6"/>
      <c r="S24" s="6"/>
      <c r="T24" s="6"/>
      <c r="U24" s="6" t="n">
        <v>1</v>
      </c>
      <c r="V24" s="6"/>
      <c r="W24" s="6"/>
      <c r="X24" s="6"/>
      <c r="Y24" s="6"/>
      <c r="Z24" s="6"/>
      <c r="AA24" s="6"/>
      <c r="AB24" s="6"/>
      <c r="AC24" s="6"/>
      <c r="AD24" s="6" t="n">
        <v>1</v>
      </c>
      <c r="AE24" s="6"/>
      <c r="AF24" s="6" t="n">
        <v>1</v>
      </c>
      <c r="AG24" s="6"/>
      <c r="AH24" s="6"/>
      <c r="AI24" s="6"/>
      <c r="AJ24" s="6"/>
    </row>
    <row r="25" customFormat="false" ht="15" hidden="false" customHeight="false" outlineLevel="0" collapsed="false">
      <c r="A25" s="6" t="s">
        <v>443</v>
      </c>
      <c r="B25" s="6" t="s">
        <v>444</v>
      </c>
      <c r="C25" s="6" t="n">
        <v>2025</v>
      </c>
      <c r="D25" s="6" t="s">
        <v>445</v>
      </c>
      <c r="E25" s="6" t="n">
        <v>2</v>
      </c>
      <c r="F25" s="6" t="s">
        <v>446</v>
      </c>
      <c r="G25" s="6" t="s">
        <v>447</v>
      </c>
      <c r="H25" s="6" t="s">
        <v>448</v>
      </c>
      <c r="I25" s="6" t="s">
        <v>449</v>
      </c>
      <c r="J25" s="6" t="s">
        <v>450</v>
      </c>
      <c r="K25" s="6" t="s">
        <v>48</v>
      </c>
      <c r="L25" s="6" t="s">
        <v>104</v>
      </c>
      <c r="M25" s="6" t="n">
        <v>1</v>
      </c>
      <c r="N25" s="6" t="s">
        <v>300</v>
      </c>
      <c r="O25" s="6"/>
      <c r="P25" s="6"/>
      <c r="Q25" s="6" t="n">
        <v>1</v>
      </c>
      <c r="R25" s="6"/>
      <c r="S25" s="6"/>
      <c r="T25" s="6"/>
      <c r="U25" s="6" t="n">
        <v>1</v>
      </c>
      <c r="V25" s="6"/>
      <c r="W25" s="6" t="n">
        <v>1</v>
      </c>
      <c r="X25" s="6"/>
      <c r="Y25" s="6"/>
      <c r="Z25" s="6"/>
      <c r="AA25" s="6"/>
      <c r="AB25" s="6"/>
      <c r="AC25" s="6"/>
      <c r="AD25" s="6"/>
      <c r="AE25" s="6"/>
      <c r="AF25" s="6"/>
      <c r="AG25" s="6"/>
      <c r="AH25" s="6"/>
      <c r="AI25" s="6"/>
      <c r="AJ25" s="6"/>
    </row>
    <row r="26" customFormat="false" ht="15" hidden="false" customHeight="false" outlineLevel="0" collapsed="false">
      <c r="A26" s="6" t="s">
        <v>451</v>
      </c>
      <c r="B26" s="6" t="s">
        <v>452</v>
      </c>
      <c r="C26" s="6" t="n">
        <v>2023</v>
      </c>
      <c r="D26" s="6" t="s">
        <v>453</v>
      </c>
      <c r="E26" s="6" t="n">
        <v>2</v>
      </c>
      <c r="F26" s="6" t="s">
        <v>454</v>
      </c>
      <c r="G26" s="6" t="s">
        <v>344</v>
      </c>
      <c r="H26" s="6" t="s">
        <v>455</v>
      </c>
      <c r="I26" s="6" t="s">
        <v>324</v>
      </c>
      <c r="J26" s="6" t="s">
        <v>456</v>
      </c>
      <c r="K26" s="6" t="s">
        <v>47</v>
      </c>
      <c r="L26" s="6" t="s">
        <v>74</v>
      </c>
      <c r="M26" s="6" t="n">
        <v>14</v>
      </c>
      <c r="N26" s="6" t="s">
        <v>300</v>
      </c>
      <c r="O26" s="6" t="n">
        <v>1</v>
      </c>
      <c r="P26" s="6"/>
      <c r="Q26" s="6"/>
      <c r="R26" s="6" t="n">
        <v>1</v>
      </c>
      <c r="S26" s="6"/>
      <c r="T26" s="6"/>
      <c r="U26" s="6" t="n">
        <v>1</v>
      </c>
      <c r="V26" s="6"/>
      <c r="W26" s="6" t="n">
        <v>1</v>
      </c>
      <c r="X26" s="6" t="n">
        <v>1</v>
      </c>
      <c r="Y26" s="6"/>
      <c r="Z26" s="6"/>
      <c r="AA26" s="6"/>
      <c r="AB26" s="6"/>
      <c r="AC26" s="6"/>
      <c r="AD26" s="6"/>
      <c r="AE26" s="6"/>
      <c r="AF26" s="6"/>
      <c r="AG26" s="6"/>
      <c r="AH26" s="6"/>
      <c r="AI26" s="6"/>
      <c r="AJ26" s="6"/>
    </row>
    <row r="27" customFormat="false" ht="15" hidden="false" customHeight="false" outlineLevel="0" collapsed="false">
      <c r="A27" s="6" t="s">
        <v>457</v>
      </c>
      <c r="B27" s="6" t="s">
        <v>458</v>
      </c>
      <c r="C27" s="6" t="n">
        <v>2021</v>
      </c>
      <c r="D27" s="6" t="s">
        <v>459</v>
      </c>
      <c r="E27" s="6" t="n">
        <v>3</v>
      </c>
      <c r="F27" s="6" t="s">
        <v>460</v>
      </c>
      <c r="G27" s="6" t="s">
        <v>461</v>
      </c>
      <c r="H27" s="6" t="s">
        <v>332</v>
      </c>
      <c r="I27" s="6" t="s">
        <v>316</v>
      </c>
      <c r="J27" s="6" t="s">
        <v>462</v>
      </c>
      <c r="K27" s="6" t="s">
        <v>47</v>
      </c>
      <c r="L27" s="6" t="s">
        <v>74</v>
      </c>
      <c r="M27" s="6" t="n">
        <v>14</v>
      </c>
      <c r="N27" s="6" t="s">
        <v>300</v>
      </c>
      <c r="O27" s="6"/>
      <c r="P27" s="6" t="n">
        <v>1</v>
      </c>
      <c r="Q27" s="6"/>
      <c r="R27" s="6"/>
      <c r="S27" s="6"/>
      <c r="T27" s="6"/>
      <c r="U27" s="6" t="n">
        <v>1</v>
      </c>
      <c r="V27" s="6"/>
      <c r="W27" s="6"/>
      <c r="X27" s="6"/>
      <c r="Y27" s="6"/>
      <c r="Z27" s="6"/>
      <c r="AA27" s="6" t="n">
        <v>1</v>
      </c>
      <c r="AB27" s="6"/>
      <c r="AC27" s="6"/>
      <c r="AD27" s="6"/>
      <c r="AE27" s="6" t="n">
        <v>1</v>
      </c>
      <c r="AF27" s="6"/>
      <c r="AG27" s="6"/>
      <c r="AH27" s="6"/>
      <c r="AI27" s="6"/>
      <c r="AJ27" s="6"/>
    </row>
    <row r="28" customFormat="false" ht="15" hidden="false" customHeight="false" outlineLevel="0" collapsed="false">
      <c r="A28" s="6" t="s">
        <v>463</v>
      </c>
      <c r="B28" s="6" t="s">
        <v>253</v>
      </c>
      <c r="C28" s="6" t="n">
        <v>2020</v>
      </c>
      <c r="D28" s="6" t="s">
        <v>464</v>
      </c>
      <c r="E28" s="6" t="n">
        <v>3</v>
      </c>
      <c r="F28" s="6" t="s">
        <v>252</v>
      </c>
      <c r="G28" s="6" t="s">
        <v>251</v>
      </c>
      <c r="H28" s="6" t="s">
        <v>465</v>
      </c>
      <c r="I28" s="6" t="s">
        <v>466</v>
      </c>
      <c r="J28" s="6" t="s">
        <v>467</v>
      </c>
      <c r="K28" s="6" t="s">
        <v>47</v>
      </c>
      <c r="L28" s="6" t="s">
        <v>74</v>
      </c>
      <c r="M28" s="6" t="n">
        <v>49</v>
      </c>
      <c r="N28" s="6" t="s">
        <v>300</v>
      </c>
      <c r="O28" s="6" t="n">
        <v>1</v>
      </c>
      <c r="P28" s="6"/>
      <c r="Q28" s="6" t="n">
        <v>1</v>
      </c>
      <c r="R28" s="6" t="n">
        <v>1</v>
      </c>
      <c r="S28" s="6"/>
      <c r="T28" s="6"/>
      <c r="U28" s="6"/>
      <c r="V28" s="6"/>
      <c r="W28" s="6"/>
      <c r="X28" s="6"/>
      <c r="Y28" s="6"/>
      <c r="Z28" s="6"/>
      <c r="AA28" s="6"/>
      <c r="AB28" s="6"/>
      <c r="AC28" s="6"/>
      <c r="AD28" s="6"/>
      <c r="AE28" s="6" t="n">
        <v>1</v>
      </c>
      <c r="AF28" s="6"/>
      <c r="AG28" s="6"/>
      <c r="AH28" s="6"/>
      <c r="AI28" s="6"/>
      <c r="AJ28" s="6"/>
    </row>
    <row r="29" customFormat="false" ht="15" hidden="false" customHeight="false" outlineLevel="0" collapsed="false">
      <c r="A29" s="6" t="s">
        <v>468</v>
      </c>
      <c r="B29" s="6" t="s">
        <v>469</v>
      </c>
      <c r="C29" s="6" t="n">
        <v>2026</v>
      </c>
      <c r="D29" s="6" t="s">
        <v>470</v>
      </c>
      <c r="E29" s="6" t="n">
        <v>2</v>
      </c>
      <c r="F29" s="6" t="s">
        <v>471</v>
      </c>
      <c r="G29" s="6" t="s">
        <v>296</v>
      </c>
      <c r="H29" s="6" t="s">
        <v>297</v>
      </c>
      <c r="I29" s="6" t="s">
        <v>361</v>
      </c>
      <c r="J29" s="6" t="s">
        <v>472</v>
      </c>
      <c r="K29" s="6" t="s">
        <v>47</v>
      </c>
      <c r="L29" s="6" t="s">
        <v>78</v>
      </c>
      <c r="M29" s="6" t="n">
        <v>2</v>
      </c>
      <c r="N29" s="6" t="s">
        <v>300</v>
      </c>
      <c r="O29" s="6"/>
      <c r="P29" s="6"/>
      <c r="Q29" s="6" t="n">
        <v>1</v>
      </c>
      <c r="R29" s="6"/>
      <c r="S29" s="6"/>
      <c r="T29" s="6"/>
      <c r="U29" s="6"/>
      <c r="V29" s="6"/>
      <c r="W29" s="6"/>
      <c r="X29" s="6" t="n">
        <v>1</v>
      </c>
      <c r="Y29" s="6"/>
      <c r="Z29" s="6"/>
      <c r="AA29" s="6" t="n">
        <v>1</v>
      </c>
      <c r="AB29" s="6"/>
      <c r="AC29" s="6"/>
      <c r="AD29" s="6"/>
      <c r="AE29" s="6"/>
      <c r="AF29" s="6"/>
      <c r="AG29" s="6"/>
      <c r="AH29" s="6"/>
      <c r="AI29" s="6"/>
      <c r="AJ29" s="6"/>
    </row>
    <row r="30" customFormat="false" ht="15" hidden="false" customHeight="false" outlineLevel="0" collapsed="false">
      <c r="A30" s="6" t="s">
        <v>473</v>
      </c>
      <c r="B30" s="6" t="s">
        <v>474</v>
      </c>
      <c r="C30" s="6" t="n">
        <v>2026</v>
      </c>
      <c r="D30" s="6" t="s">
        <v>475</v>
      </c>
      <c r="E30" s="6" t="n">
        <v>6</v>
      </c>
      <c r="F30" s="6" t="s">
        <v>476</v>
      </c>
      <c r="G30" s="6" t="s">
        <v>374</v>
      </c>
      <c r="H30" s="6" t="s">
        <v>477</v>
      </c>
      <c r="I30" s="6" t="s">
        <v>324</v>
      </c>
      <c r="J30" s="6" t="s">
        <v>478</v>
      </c>
      <c r="K30" s="6" t="s">
        <v>47</v>
      </c>
      <c r="L30" s="6" t="s">
        <v>82</v>
      </c>
      <c r="M30" s="6" t="n">
        <v>3</v>
      </c>
      <c r="N30" s="6" t="s">
        <v>300</v>
      </c>
      <c r="O30" s="6" t="n">
        <v>1</v>
      </c>
      <c r="P30" s="6"/>
      <c r="Q30" s="6"/>
      <c r="R30" s="6" t="n">
        <v>1</v>
      </c>
      <c r="S30" s="6" t="n">
        <v>1</v>
      </c>
      <c r="T30" s="6" t="n">
        <v>1</v>
      </c>
      <c r="U30" s="6"/>
      <c r="V30" s="6"/>
      <c r="W30" s="6"/>
      <c r="X30" s="6"/>
      <c r="Y30" s="6"/>
      <c r="Z30" s="6" t="n">
        <v>1</v>
      </c>
      <c r="AA30" s="6"/>
      <c r="AB30" s="6"/>
      <c r="AC30" s="6" t="n">
        <v>1</v>
      </c>
      <c r="AD30" s="6"/>
      <c r="AE30" s="6"/>
      <c r="AF30" s="6"/>
      <c r="AG30" s="6"/>
      <c r="AH30" s="6"/>
      <c r="AI30" s="6"/>
      <c r="AJ30" s="6"/>
    </row>
    <row r="31" customFormat="false" ht="15" hidden="false" customHeight="false" outlineLevel="0" collapsed="false">
      <c r="A31" s="6" t="s">
        <v>479</v>
      </c>
      <c r="B31" s="6" t="s">
        <v>480</v>
      </c>
      <c r="C31" s="6" t="n">
        <v>2026</v>
      </c>
      <c r="D31" s="6" t="s">
        <v>481</v>
      </c>
      <c r="E31" s="6" t="n">
        <v>3</v>
      </c>
      <c r="F31" s="6" t="s">
        <v>482</v>
      </c>
      <c r="G31" s="6" t="s">
        <v>483</v>
      </c>
      <c r="H31" s="6" t="s">
        <v>484</v>
      </c>
      <c r="I31" s="6" t="s">
        <v>316</v>
      </c>
      <c r="J31" s="6" t="s">
        <v>485</v>
      </c>
      <c r="K31" s="6" t="s">
        <v>47</v>
      </c>
      <c r="L31" s="6" t="s">
        <v>95</v>
      </c>
      <c r="M31" s="6" t="n">
        <v>0</v>
      </c>
      <c r="N31" s="6" t="s">
        <v>300</v>
      </c>
      <c r="O31" s="6"/>
      <c r="P31" s="6"/>
      <c r="Q31" s="6" t="n">
        <v>1</v>
      </c>
      <c r="R31" s="6"/>
      <c r="S31" s="6"/>
      <c r="T31" s="6"/>
      <c r="U31" s="6"/>
      <c r="V31" s="6" t="n">
        <v>1</v>
      </c>
      <c r="W31" s="6" t="n">
        <v>1</v>
      </c>
      <c r="X31" s="6" t="n">
        <v>1</v>
      </c>
      <c r="Y31" s="6" t="n">
        <v>1</v>
      </c>
      <c r="Z31" s="6"/>
      <c r="AA31" s="6"/>
      <c r="AB31" s="6"/>
      <c r="AC31" s="6"/>
      <c r="AD31" s="6"/>
      <c r="AE31" s="6"/>
      <c r="AF31" s="6"/>
      <c r="AG31" s="6"/>
      <c r="AH31" s="6"/>
      <c r="AI31" s="6"/>
      <c r="AJ31" s="6"/>
    </row>
    <row r="32" customFormat="false" ht="15" hidden="false" customHeight="false" outlineLevel="0" collapsed="false">
      <c r="A32" s="6" t="s">
        <v>486</v>
      </c>
      <c r="B32" s="6" t="s">
        <v>233</v>
      </c>
      <c r="C32" s="6" t="n">
        <v>2025</v>
      </c>
      <c r="D32" s="6" t="s">
        <v>487</v>
      </c>
      <c r="E32" s="6" t="n">
        <v>1</v>
      </c>
      <c r="F32" s="6" t="s">
        <v>232</v>
      </c>
      <c r="G32" s="6" t="s">
        <v>231</v>
      </c>
      <c r="H32" s="6" t="s">
        <v>488</v>
      </c>
      <c r="I32" s="6"/>
      <c r="J32" s="6" t="s">
        <v>489</v>
      </c>
      <c r="K32" s="6" t="s">
        <v>47</v>
      </c>
      <c r="L32" s="6" t="s">
        <v>76</v>
      </c>
      <c r="M32" s="6" t="n">
        <v>98</v>
      </c>
      <c r="N32" s="6" t="s">
        <v>300</v>
      </c>
      <c r="O32" s="6"/>
      <c r="P32" s="6" t="n">
        <v>1</v>
      </c>
      <c r="Q32" s="6"/>
      <c r="R32" s="6"/>
      <c r="S32" s="6"/>
      <c r="T32" s="6"/>
      <c r="U32" s="6" t="n">
        <v>1</v>
      </c>
      <c r="V32" s="6"/>
      <c r="W32" s="6"/>
      <c r="X32" s="6"/>
      <c r="Y32" s="6" t="n">
        <v>1</v>
      </c>
      <c r="Z32" s="6"/>
      <c r="AA32" s="6"/>
      <c r="AB32" s="6"/>
      <c r="AC32" s="6" t="n">
        <v>1</v>
      </c>
      <c r="AD32" s="6"/>
      <c r="AE32" s="6"/>
      <c r="AF32" s="6" t="n">
        <v>1</v>
      </c>
      <c r="AG32" s="6"/>
      <c r="AH32" s="6"/>
      <c r="AI32" s="6" t="n">
        <v>1</v>
      </c>
      <c r="AJ32" s="6" t="n">
        <v>1</v>
      </c>
    </row>
    <row r="33" customFormat="false" ht="15" hidden="false" customHeight="false" outlineLevel="0" collapsed="false">
      <c r="A33" s="6" t="s">
        <v>490</v>
      </c>
      <c r="B33" s="6" t="s">
        <v>491</v>
      </c>
      <c r="C33" s="6" t="n">
        <v>2026</v>
      </c>
      <c r="D33" s="6" t="s">
        <v>492</v>
      </c>
      <c r="E33" s="6" t="n">
        <v>4</v>
      </c>
      <c r="F33" s="6" t="s">
        <v>493</v>
      </c>
      <c r="G33" s="6" t="s">
        <v>494</v>
      </c>
      <c r="H33" s="6" t="s">
        <v>495</v>
      </c>
      <c r="I33" s="6" t="s">
        <v>496</v>
      </c>
      <c r="J33" s="6" t="s">
        <v>497</v>
      </c>
      <c r="K33" s="6" t="s">
        <v>47</v>
      </c>
      <c r="L33" s="6" t="s">
        <v>74</v>
      </c>
      <c r="M33" s="6" t="n">
        <v>0</v>
      </c>
      <c r="N33" s="6" t="s">
        <v>300</v>
      </c>
      <c r="O33" s="6"/>
      <c r="P33" s="6" t="n">
        <v>1</v>
      </c>
      <c r="Q33" s="6"/>
      <c r="R33" s="6"/>
      <c r="S33" s="6"/>
      <c r="T33" s="6"/>
      <c r="U33" s="6" t="n">
        <v>1</v>
      </c>
      <c r="V33" s="6" t="n">
        <v>1</v>
      </c>
      <c r="W33" s="6"/>
      <c r="X33" s="6"/>
      <c r="Y33" s="6" t="n">
        <v>1</v>
      </c>
      <c r="Z33" s="6"/>
      <c r="AA33" s="6"/>
      <c r="AB33" s="6"/>
      <c r="AC33" s="6" t="n">
        <v>1</v>
      </c>
      <c r="AD33" s="6"/>
      <c r="AE33" s="6"/>
      <c r="AF33" s="6"/>
      <c r="AG33" s="6"/>
      <c r="AH33" s="6"/>
      <c r="AI33" s="6"/>
      <c r="AJ33" s="6" t="n">
        <v>1</v>
      </c>
    </row>
    <row r="34" customFormat="false" ht="15" hidden="false" customHeight="false" outlineLevel="0" collapsed="false">
      <c r="A34" s="6" t="s">
        <v>498</v>
      </c>
      <c r="B34" s="6" t="s">
        <v>499</v>
      </c>
      <c r="C34" s="6" t="n">
        <v>2025</v>
      </c>
      <c r="D34" s="6" t="s">
        <v>500</v>
      </c>
      <c r="E34" s="6" t="n">
        <v>1</v>
      </c>
      <c r="F34" s="6" t="s">
        <v>501</v>
      </c>
      <c r="G34" s="6" t="s">
        <v>247</v>
      </c>
      <c r="H34" s="6" t="s">
        <v>467</v>
      </c>
      <c r="I34" s="6"/>
      <c r="J34" s="6" t="s">
        <v>502</v>
      </c>
      <c r="K34" s="6" t="s">
        <v>47</v>
      </c>
      <c r="L34" s="6" t="s">
        <v>85</v>
      </c>
      <c r="M34" s="6" t="n">
        <v>3</v>
      </c>
      <c r="N34" s="6" t="s">
        <v>309</v>
      </c>
      <c r="O34" s="6"/>
      <c r="P34" s="6"/>
      <c r="Q34" s="6"/>
      <c r="R34" s="6"/>
      <c r="S34" s="6"/>
      <c r="T34" s="6" t="n">
        <v>1</v>
      </c>
      <c r="U34" s="6" t="n">
        <v>1</v>
      </c>
      <c r="V34" s="6"/>
      <c r="W34" s="6"/>
      <c r="X34" s="6"/>
      <c r="Y34" s="6" t="n">
        <v>1</v>
      </c>
      <c r="Z34" s="6"/>
      <c r="AA34" s="6"/>
      <c r="AB34" s="6"/>
      <c r="AC34" s="6"/>
      <c r="AD34" s="6"/>
      <c r="AE34" s="6"/>
      <c r="AF34" s="6"/>
      <c r="AG34" s="6"/>
      <c r="AH34" s="6"/>
      <c r="AI34" s="6"/>
      <c r="AJ34" s="6"/>
    </row>
    <row r="35" customFormat="false" ht="15" hidden="false" customHeight="false" outlineLevel="0" collapsed="false">
      <c r="A35" s="6" t="s">
        <v>503</v>
      </c>
      <c r="B35" s="6" t="s">
        <v>504</v>
      </c>
      <c r="C35" s="6" t="n">
        <v>2018</v>
      </c>
      <c r="D35" s="6" t="s">
        <v>505</v>
      </c>
      <c r="E35" s="6" t="n">
        <v>1</v>
      </c>
      <c r="F35" s="6" t="s">
        <v>506</v>
      </c>
      <c r="G35" s="6" t="s">
        <v>507</v>
      </c>
      <c r="H35" s="6" t="s">
        <v>508</v>
      </c>
      <c r="I35" s="6" t="s">
        <v>361</v>
      </c>
      <c r="J35" s="6" t="s">
        <v>509</v>
      </c>
      <c r="K35" s="6" t="s">
        <v>47</v>
      </c>
      <c r="L35" s="6" t="s">
        <v>72</v>
      </c>
      <c r="M35" s="6" t="n">
        <v>34</v>
      </c>
      <c r="N35" s="6" t="s">
        <v>309</v>
      </c>
      <c r="O35" s="6"/>
      <c r="P35" s="6"/>
      <c r="Q35" s="6"/>
      <c r="R35" s="6"/>
      <c r="S35" s="6"/>
      <c r="T35" s="6"/>
      <c r="U35" s="6" t="n">
        <v>1</v>
      </c>
      <c r="V35" s="6"/>
      <c r="W35" s="6"/>
      <c r="X35" s="6"/>
      <c r="Y35" s="6" t="n">
        <v>1</v>
      </c>
      <c r="Z35" s="6"/>
      <c r="AA35" s="6"/>
      <c r="AB35" s="6"/>
      <c r="AC35" s="6"/>
      <c r="AD35" s="6"/>
      <c r="AE35" s="6" t="n">
        <v>1</v>
      </c>
      <c r="AF35" s="6" t="n">
        <v>1</v>
      </c>
      <c r="AG35" s="6"/>
      <c r="AH35" s="6"/>
      <c r="AI35" s="6"/>
      <c r="AJ35" s="6"/>
    </row>
    <row r="36" customFormat="false" ht="15" hidden="false" customHeight="false" outlineLevel="0" collapsed="false">
      <c r="A36" s="6" t="s">
        <v>510</v>
      </c>
      <c r="B36" s="6" t="s">
        <v>511</v>
      </c>
      <c r="C36" s="6" t="n">
        <v>2026</v>
      </c>
      <c r="D36" s="6" t="s">
        <v>512</v>
      </c>
      <c r="E36" s="6" t="n">
        <v>2</v>
      </c>
      <c r="F36" s="6" t="s">
        <v>513</v>
      </c>
      <c r="G36" s="6" t="s">
        <v>514</v>
      </c>
      <c r="H36" s="6" t="s">
        <v>515</v>
      </c>
      <c r="I36" s="6" t="s">
        <v>324</v>
      </c>
      <c r="J36" s="6" t="s">
        <v>516</v>
      </c>
      <c r="K36" s="6" t="s">
        <v>48</v>
      </c>
      <c r="L36" s="6" t="s">
        <v>74</v>
      </c>
      <c r="M36" s="6" t="n">
        <v>0</v>
      </c>
      <c r="N36" s="6" t="s">
        <v>300</v>
      </c>
      <c r="O36" s="6"/>
      <c r="P36" s="6"/>
      <c r="Q36" s="6" t="n">
        <v>1</v>
      </c>
      <c r="R36" s="6"/>
      <c r="S36" s="6" t="n">
        <v>1</v>
      </c>
      <c r="T36" s="6"/>
      <c r="U36" s="6"/>
      <c r="V36" s="6" t="n">
        <v>1</v>
      </c>
      <c r="W36" s="6"/>
      <c r="X36" s="6"/>
      <c r="Y36" s="6"/>
      <c r="Z36" s="6" t="n">
        <v>1</v>
      </c>
      <c r="AA36" s="6"/>
      <c r="AB36" s="6" t="n">
        <v>1</v>
      </c>
      <c r="AC36" s="6"/>
      <c r="AD36" s="6"/>
      <c r="AE36" s="6"/>
      <c r="AF36" s="6"/>
      <c r="AG36" s="6"/>
      <c r="AH36" s="6"/>
      <c r="AI36" s="6"/>
      <c r="AJ36" s="6"/>
    </row>
    <row r="37" customFormat="false" ht="15" hidden="false" customHeight="false" outlineLevel="0" collapsed="false">
      <c r="A37" s="6" t="s">
        <v>517</v>
      </c>
      <c r="B37" s="6" t="s">
        <v>518</v>
      </c>
      <c r="C37" s="6" t="n">
        <v>2026</v>
      </c>
      <c r="D37" s="6" t="s">
        <v>519</v>
      </c>
      <c r="E37" s="6" t="n">
        <v>4</v>
      </c>
      <c r="F37" s="6" t="s">
        <v>520</v>
      </c>
      <c r="G37" s="6" t="s">
        <v>521</v>
      </c>
      <c r="H37" s="6" t="s">
        <v>522</v>
      </c>
      <c r="I37" s="6" t="s">
        <v>316</v>
      </c>
      <c r="J37" s="6" t="s">
        <v>523</v>
      </c>
      <c r="K37" s="6" t="s">
        <v>47</v>
      </c>
      <c r="L37" s="6" t="s">
        <v>84</v>
      </c>
      <c r="M37" s="6" t="n">
        <v>0</v>
      </c>
      <c r="N37" s="6" t="s">
        <v>300</v>
      </c>
      <c r="O37" s="6"/>
      <c r="P37" s="6"/>
      <c r="Q37" s="6" t="n">
        <v>1</v>
      </c>
      <c r="R37" s="6"/>
      <c r="S37" s="6"/>
      <c r="T37" s="6" t="n">
        <v>1</v>
      </c>
      <c r="U37" s="6" t="n">
        <v>1</v>
      </c>
      <c r="V37" s="6" t="n">
        <v>1</v>
      </c>
      <c r="W37" s="6"/>
      <c r="X37" s="6" t="n">
        <v>1</v>
      </c>
      <c r="Y37" s="6" t="n">
        <v>1</v>
      </c>
      <c r="Z37" s="6"/>
      <c r="AA37" s="6"/>
      <c r="AB37" s="6"/>
      <c r="AC37" s="6" t="n">
        <v>1</v>
      </c>
      <c r="AD37" s="6"/>
      <c r="AE37" s="6"/>
      <c r="AF37" s="6"/>
      <c r="AG37" s="6"/>
      <c r="AH37" s="6"/>
      <c r="AI37" s="6"/>
      <c r="AJ37" s="6"/>
    </row>
    <row r="38" customFormat="false" ht="15" hidden="false" customHeight="false" outlineLevel="0" collapsed="false">
      <c r="A38" s="6" t="s">
        <v>524</v>
      </c>
      <c r="B38" s="6" t="s">
        <v>525</v>
      </c>
      <c r="C38" s="6" t="n">
        <v>2022</v>
      </c>
      <c r="D38" s="6" t="s">
        <v>526</v>
      </c>
      <c r="E38" s="6" t="n">
        <v>2</v>
      </c>
      <c r="F38" s="6" t="s">
        <v>527</v>
      </c>
      <c r="G38" s="6" t="s">
        <v>528</v>
      </c>
      <c r="H38" s="6" t="s">
        <v>529</v>
      </c>
      <c r="I38" s="6" t="s">
        <v>353</v>
      </c>
      <c r="J38" s="6" t="s">
        <v>530</v>
      </c>
      <c r="K38" s="6" t="s">
        <v>47</v>
      </c>
      <c r="L38" s="6" t="s">
        <v>76</v>
      </c>
      <c r="M38" s="6" t="n">
        <v>6</v>
      </c>
      <c r="N38" s="6" t="s">
        <v>309</v>
      </c>
      <c r="O38" s="6"/>
      <c r="P38" s="6"/>
      <c r="Q38" s="6"/>
      <c r="R38" s="6"/>
      <c r="S38" s="6"/>
      <c r="T38" s="6"/>
      <c r="U38" s="6"/>
      <c r="V38" s="6"/>
      <c r="W38" s="6"/>
      <c r="X38" s="6"/>
      <c r="Y38" s="6"/>
      <c r="Z38" s="6"/>
      <c r="AA38" s="6"/>
      <c r="AB38" s="6"/>
      <c r="AC38" s="6"/>
      <c r="AD38" s="6"/>
      <c r="AE38" s="6"/>
      <c r="AF38" s="6"/>
      <c r="AG38" s="6"/>
      <c r="AH38" s="6"/>
      <c r="AI38" s="6"/>
      <c r="AJ38" s="6"/>
    </row>
    <row r="39" customFormat="false" ht="15" hidden="false" customHeight="false" outlineLevel="0" collapsed="false">
      <c r="A39" s="6" t="s">
        <v>531</v>
      </c>
      <c r="B39" s="6" t="s">
        <v>532</v>
      </c>
      <c r="C39" s="6" t="n">
        <v>2019</v>
      </c>
      <c r="D39" s="6" t="s">
        <v>533</v>
      </c>
      <c r="E39" s="6" t="n">
        <v>2</v>
      </c>
      <c r="F39" s="6" t="s">
        <v>534</v>
      </c>
      <c r="G39" s="6" t="s">
        <v>535</v>
      </c>
      <c r="H39" s="6" t="s">
        <v>536</v>
      </c>
      <c r="I39" s="6" t="s">
        <v>324</v>
      </c>
      <c r="J39" s="6" t="s">
        <v>537</v>
      </c>
      <c r="K39" s="6" t="s">
        <v>47</v>
      </c>
      <c r="L39" s="6" t="s">
        <v>72</v>
      </c>
      <c r="M39" s="6" t="n">
        <v>26</v>
      </c>
      <c r="N39" s="6" t="s">
        <v>309</v>
      </c>
      <c r="O39" s="6"/>
      <c r="P39" s="6" t="n">
        <v>1</v>
      </c>
      <c r="Q39" s="6" t="n">
        <v>1</v>
      </c>
      <c r="R39" s="6"/>
      <c r="S39" s="6"/>
      <c r="T39" s="6"/>
      <c r="U39" s="6"/>
      <c r="V39" s="6"/>
      <c r="W39" s="6"/>
      <c r="X39" s="6"/>
      <c r="Y39" s="6" t="n">
        <v>1</v>
      </c>
      <c r="Z39" s="6" t="n">
        <v>1</v>
      </c>
      <c r="AA39" s="6"/>
      <c r="AB39" s="6"/>
      <c r="AC39" s="6"/>
      <c r="AD39" s="6"/>
      <c r="AE39" s="6" t="n">
        <v>1</v>
      </c>
      <c r="AF39" s="6"/>
      <c r="AG39" s="6"/>
      <c r="AH39" s="6"/>
      <c r="AI39" s="6"/>
      <c r="AJ39" s="6"/>
    </row>
    <row r="40" customFormat="false" ht="15" hidden="false" customHeight="false" outlineLevel="0" collapsed="false">
      <c r="A40" s="6" t="s">
        <v>538</v>
      </c>
      <c r="B40" s="6" t="s">
        <v>539</v>
      </c>
      <c r="C40" s="6" t="n">
        <v>2024</v>
      </c>
      <c r="D40" s="6" t="s">
        <v>540</v>
      </c>
      <c r="E40" s="6" t="n">
        <v>3</v>
      </c>
      <c r="F40" s="6" t="s">
        <v>541</v>
      </c>
      <c r="G40" s="6" t="s">
        <v>542</v>
      </c>
      <c r="H40" s="6" t="s">
        <v>402</v>
      </c>
      <c r="I40" s="6" t="s">
        <v>316</v>
      </c>
      <c r="J40" s="6" t="s">
        <v>543</v>
      </c>
      <c r="K40" s="6" t="s">
        <v>48</v>
      </c>
      <c r="L40" s="6" t="s">
        <v>74</v>
      </c>
      <c r="M40" s="6" t="n">
        <v>3</v>
      </c>
      <c r="N40" s="6" t="s">
        <v>300</v>
      </c>
      <c r="O40" s="6"/>
      <c r="P40" s="6"/>
      <c r="Q40" s="6"/>
      <c r="R40" s="6"/>
      <c r="S40" s="6" t="n">
        <v>1</v>
      </c>
      <c r="T40" s="6"/>
      <c r="U40" s="6"/>
      <c r="V40" s="6"/>
      <c r="W40" s="6"/>
      <c r="X40" s="6"/>
      <c r="Y40" s="6"/>
      <c r="Z40" s="6"/>
      <c r="AA40" s="6"/>
      <c r="AB40" s="6"/>
      <c r="AC40" s="6"/>
      <c r="AD40" s="6"/>
      <c r="AE40" s="6" t="n">
        <v>1</v>
      </c>
      <c r="AF40" s="6"/>
      <c r="AG40" s="6"/>
      <c r="AH40" s="6"/>
      <c r="AI40" s="6"/>
      <c r="AJ40" s="6"/>
    </row>
    <row r="41" customFormat="false" ht="15" hidden="false" customHeight="false" outlineLevel="0" collapsed="false">
      <c r="A41" s="6" t="s">
        <v>544</v>
      </c>
      <c r="B41" s="6" t="s">
        <v>545</v>
      </c>
      <c r="C41" s="6" t="n">
        <v>2026</v>
      </c>
      <c r="D41" s="6" t="s">
        <v>546</v>
      </c>
      <c r="E41" s="6" t="n">
        <v>6</v>
      </c>
      <c r="F41" s="6" t="s">
        <v>547</v>
      </c>
      <c r="G41" s="6" t="s">
        <v>351</v>
      </c>
      <c r="H41" s="6" t="s">
        <v>352</v>
      </c>
      <c r="I41" s="6" t="s">
        <v>316</v>
      </c>
      <c r="J41" s="6" t="s">
        <v>548</v>
      </c>
      <c r="K41" s="6" t="s">
        <v>48</v>
      </c>
      <c r="L41" s="6" t="s">
        <v>74</v>
      </c>
      <c r="M41" s="6" t="n">
        <v>0</v>
      </c>
      <c r="N41" s="6" t="s">
        <v>300</v>
      </c>
      <c r="O41" s="6"/>
      <c r="P41" s="6"/>
      <c r="Q41" s="6" t="n">
        <v>1</v>
      </c>
      <c r="R41" s="6"/>
      <c r="S41" s="6"/>
      <c r="T41" s="6"/>
      <c r="U41" s="6"/>
      <c r="V41" s="6"/>
      <c r="W41" s="6"/>
      <c r="X41" s="6"/>
      <c r="Y41" s="6"/>
      <c r="Z41" s="6"/>
      <c r="AA41" s="6"/>
      <c r="AB41" s="6"/>
      <c r="AC41" s="6"/>
      <c r="AD41" s="6"/>
      <c r="AE41" s="6"/>
      <c r="AF41" s="6"/>
      <c r="AG41" s="6"/>
      <c r="AH41" s="6"/>
      <c r="AI41" s="6"/>
      <c r="AJ41" s="6"/>
    </row>
    <row r="42" customFormat="false" ht="15" hidden="false" customHeight="false" outlineLevel="0" collapsed="false">
      <c r="A42" s="6" t="s">
        <v>549</v>
      </c>
      <c r="B42" s="6" t="s">
        <v>550</v>
      </c>
      <c r="C42" s="6" t="n">
        <v>2026</v>
      </c>
      <c r="D42" s="6" t="s">
        <v>551</v>
      </c>
      <c r="E42" s="6" t="n">
        <v>1</v>
      </c>
      <c r="F42" s="6" t="s">
        <v>552</v>
      </c>
      <c r="G42" s="6" t="s">
        <v>553</v>
      </c>
      <c r="H42" s="6"/>
      <c r="I42" s="6"/>
      <c r="J42" s="6"/>
      <c r="K42" s="6" t="s">
        <v>47</v>
      </c>
      <c r="L42" s="6" t="s">
        <v>80</v>
      </c>
      <c r="M42" s="6" t="n">
        <v>0</v>
      </c>
      <c r="N42" s="6" t="s">
        <v>300</v>
      </c>
      <c r="O42" s="6"/>
      <c r="P42" s="6"/>
      <c r="Q42" s="6"/>
      <c r="R42" s="6"/>
      <c r="S42" s="6"/>
      <c r="T42" s="6"/>
      <c r="U42" s="6"/>
      <c r="V42" s="6"/>
      <c r="W42" s="6"/>
      <c r="X42" s="6"/>
      <c r="Y42" s="6"/>
      <c r="Z42" s="6"/>
      <c r="AA42" s="6"/>
      <c r="AB42" s="6"/>
      <c r="AC42" s="6" t="n">
        <v>1</v>
      </c>
      <c r="AD42" s="6"/>
      <c r="AE42" s="6"/>
      <c r="AF42" s="6"/>
      <c r="AG42" s="6"/>
      <c r="AH42" s="6"/>
      <c r="AI42" s="6"/>
      <c r="AJ42" s="6"/>
    </row>
    <row r="43" customFormat="false" ht="15" hidden="false" customHeight="false" outlineLevel="0" collapsed="false">
      <c r="A43" s="6" t="s">
        <v>554</v>
      </c>
      <c r="B43" s="6" t="s">
        <v>555</v>
      </c>
      <c r="C43" s="6" t="n">
        <v>2022</v>
      </c>
      <c r="D43" s="6" t="s">
        <v>556</v>
      </c>
      <c r="E43" s="6" t="n">
        <v>3</v>
      </c>
      <c r="F43" s="6" t="s">
        <v>557</v>
      </c>
      <c r="G43" s="6" t="s">
        <v>558</v>
      </c>
      <c r="H43" s="6" t="s">
        <v>559</v>
      </c>
      <c r="I43" s="6" t="s">
        <v>560</v>
      </c>
      <c r="J43" s="6" t="s">
        <v>561</v>
      </c>
      <c r="K43" s="6" t="s">
        <v>47</v>
      </c>
      <c r="L43" s="6" t="s">
        <v>72</v>
      </c>
      <c r="M43" s="6" t="n">
        <v>21</v>
      </c>
      <c r="N43" s="6" t="s">
        <v>309</v>
      </c>
      <c r="O43" s="6"/>
      <c r="P43" s="6"/>
      <c r="Q43" s="6"/>
      <c r="R43" s="6"/>
      <c r="S43" s="6"/>
      <c r="T43" s="6" t="n">
        <v>1</v>
      </c>
      <c r="U43" s="6"/>
      <c r="V43" s="6" t="n">
        <v>1</v>
      </c>
      <c r="W43" s="6"/>
      <c r="X43" s="6" t="n">
        <v>1</v>
      </c>
      <c r="Y43" s="6"/>
      <c r="Z43" s="6"/>
      <c r="AA43" s="6"/>
      <c r="AB43" s="6"/>
      <c r="AC43" s="6"/>
      <c r="AD43" s="6"/>
      <c r="AE43" s="6"/>
      <c r="AF43" s="6"/>
      <c r="AG43" s="6"/>
      <c r="AH43" s="6"/>
      <c r="AI43" s="6"/>
      <c r="AJ43" s="6"/>
    </row>
    <row r="44" customFormat="false" ht="15" hidden="false" customHeight="false" outlineLevel="0" collapsed="false">
      <c r="A44" s="6" t="s">
        <v>562</v>
      </c>
      <c r="B44" s="6" t="s">
        <v>563</v>
      </c>
      <c r="C44" s="6" t="n">
        <v>2026</v>
      </c>
      <c r="D44" s="6" t="s">
        <v>564</v>
      </c>
      <c r="E44" s="6" t="n">
        <v>3</v>
      </c>
      <c r="F44" s="6" t="s">
        <v>565</v>
      </c>
      <c r="G44" s="6" t="s">
        <v>566</v>
      </c>
      <c r="H44" s="6" t="s">
        <v>567</v>
      </c>
      <c r="I44" s="6"/>
      <c r="J44" s="6" t="s">
        <v>568</v>
      </c>
      <c r="K44" s="6" t="s">
        <v>47</v>
      </c>
      <c r="L44" s="6" t="s">
        <v>72</v>
      </c>
      <c r="M44" s="6" t="n">
        <v>0</v>
      </c>
      <c r="N44" s="6" t="s">
        <v>309</v>
      </c>
      <c r="O44" s="6"/>
      <c r="P44" s="6"/>
      <c r="Q44" s="6" t="n">
        <v>1</v>
      </c>
      <c r="R44" s="6" t="n">
        <v>1</v>
      </c>
      <c r="S44" s="6"/>
      <c r="T44" s="6"/>
      <c r="U44" s="6" t="n">
        <v>1</v>
      </c>
      <c r="V44" s="6"/>
      <c r="W44" s="6"/>
      <c r="X44" s="6"/>
      <c r="Y44" s="6"/>
      <c r="Z44" s="6"/>
      <c r="AA44" s="6"/>
      <c r="AB44" s="6"/>
      <c r="AC44" s="6"/>
      <c r="AD44" s="6"/>
      <c r="AE44" s="6"/>
      <c r="AF44" s="6"/>
      <c r="AG44" s="6"/>
      <c r="AH44" s="6"/>
      <c r="AI44" s="6"/>
      <c r="AJ44" s="6"/>
    </row>
    <row r="45" customFormat="false" ht="15" hidden="false" customHeight="false" outlineLevel="0" collapsed="false">
      <c r="A45" s="6" t="s">
        <v>569</v>
      </c>
      <c r="B45" s="6" t="s">
        <v>570</v>
      </c>
      <c r="C45" s="6" t="n">
        <v>2026</v>
      </c>
      <c r="D45" s="6" t="s">
        <v>571</v>
      </c>
      <c r="E45" s="6" t="n">
        <v>1</v>
      </c>
      <c r="F45" s="6" t="s">
        <v>572</v>
      </c>
      <c r="G45" s="6" t="s">
        <v>573</v>
      </c>
      <c r="H45" s="6" t="s">
        <v>574</v>
      </c>
      <c r="I45" s="6" t="s">
        <v>324</v>
      </c>
      <c r="J45" s="6" t="s">
        <v>575</v>
      </c>
      <c r="K45" s="6" t="s">
        <v>48</v>
      </c>
      <c r="L45" s="6" t="s">
        <v>92</v>
      </c>
      <c r="M45" s="6" t="n">
        <v>0</v>
      </c>
      <c r="N45" s="6" t="s">
        <v>300</v>
      </c>
      <c r="O45" s="6"/>
      <c r="P45" s="6"/>
      <c r="Q45" s="6" t="n">
        <v>1</v>
      </c>
      <c r="R45" s="6"/>
      <c r="S45" s="6"/>
      <c r="T45" s="6"/>
      <c r="U45" s="6" t="n">
        <v>1</v>
      </c>
      <c r="V45" s="6" t="n">
        <v>1</v>
      </c>
      <c r="W45" s="6"/>
      <c r="X45" s="6"/>
      <c r="Y45" s="6" t="n">
        <v>1</v>
      </c>
      <c r="Z45" s="6"/>
      <c r="AA45" s="6"/>
      <c r="AB45" s="6"/>
      <c r="AC45" s="6"/>
      <c r="AD45" s="6"/>
      <c r="AE45" s="6"/>
      <c r="AF45" s="6"/>
      <c r="AG45" s="6"/>
      <c r="AH45" s="6"/>
      <c r="AI45" s="6"/>
      <c r="AJ45" s="6"/>
    </row>
    <row r="46" customFormat="false" ht="15" hidden="false" customHeight="false" outlineLevel="0" collapsed="false">
      <c r="A46" s="6" t="s">
        <v>576</v>
      </c>
      <c r="B46" s="6" t="s">
        <v>577</v>
      </c>
      <c r="C46" s="6" t="n">
        <v>2025</v>
      </c>
      <c r="D46" s="6" t="s">
        <v>578</v>
      </c>
      <c r="E46" s="6" t="n">
        <v>2</v>
      </c>
      <c r="F46" s="6" t="s">
        <v>579</v>
      </c>
      <c r="G46" s="6" t="s">
        <v>580</v>
      </c>
      <c r="H46" s="6" t="s">
        <v>581</v>
      </c>
      <c r="I46" s="6"/>
      <c r="J46" s="6" t="s">
        <v>582</v>
      </c>
      <c r="K46" s="6" t="s">
        <v>47</v>
      </c>
      <c r="L46" s="6" t="s">
        <v>76</v>
      </c>
      <c r="M46" s="6" t="n">
        <v>1</v>
      </c>
      <c r="N46" s="6" t="s">
        <v>300</v>
      </c>
      <c r="O46" s="6"/>
      <c r="P46" s="6"/>
      <c r="Q46" s="6"/>
      <c r="R46" s="6"/>
      <c r="S46" s="6"/>
      <c r="T46" s="6"/>
      <c r="U46" s="6" t="n">
        <v>1</v>
      </c>
      <c r="V46" s="6"/>
      <c r="W46" s="6"/>
      <c r="X46" s="6"/>
      <c r="Y46" s="6" t="n">
        <v>1</v>
      </c>
      <c r="Z46" s="6"/>
      <c r="AA46" s="6"/>
      <c r="AB46" s="6" t="n">
        <v>1</v>
      </c>
      <c r="AC46" s="6"/>
      <c r="AD46" s="6"/>
      <c r="AE46" s="6"/>
      <c r="AF46" s="6"/>
      <c r="AG46" s="6"/>
      <c r="AH46" s="6"/>
      <c r="AI46" s="6"/>
      <c r="AJ46" s="6" t="n">
        <v>1</v>
      </c>
    </row>
    <row r="47" customFormat="false" ht="15" hidden="false" customHeight="false" outlineLevel="0" collapsed="false">
      <c r="A47" s="6" t="s">
        <v>583</v>
      </c>
      <c r="B47" s="6" t="s">
        <v>584</v>
      </c>
      <c r="C47" s="6" t="n">
        <v>2026</v>
      </c>
      <c r="D47" s="6" t="s">
        <v>585</v>
      </c>
      <c r="E47" s="6" t="n">
        <v>4</v>
      </c>
      <c r="F47" s="6" t="s">
        <v>586</v>
      </c>
      <c r="G47" s="6" t="s">
        <v>587</v>
      </c>
      <c r="H47" s="6" t="s">
        <v>360</v>
      </c>
      <c r="I47" s="6" t="s">
        <v>316</v>
      </c>
      <c r="J47" s="6"/>
      <c r="K47" s="6" t="s">
        <v>48</v>
      </c>
      <c r="L47" s="6" t="s">
        <v>92</v>
      </c>
      <c r="M47" s="6" t="n">
        <v>2</v>
      </c>
      <c r="N47" s="6" t="s">
        <v>300</v>
      </c>
      <c r="O47" s="6"/>
      <c r="P47" s="6"/>
      <c r="Q47" s="6" t="n">
        <v>1</v>
      </c>
      <c r="R47" s="6"/>
      <c r="S47" s="6"/>
      <c r="T47" s="6"/>
      <c r="U47" s="6" t="n">
        <v>1</v>
      </c>
      <c r="V47" s="6"/>
      <c r="W47" s="6"/>
      <c r="X47" s="6"/>
      <c r="Y47" s="6"/>
      <c r="Z47" s="6"/>
      <c r="AA47" s="6"/>
      <c r="AB47" s="6"/>
      <c r="AC47" s="6" t="n">
        <v>1</v>
      </c>
      <c r="AD47" s="6"/>
      <c r="AE47" s="6"/>
      <c r="AF47" s="6"/>
      <c r="AG47" s="6"/>
      <c r="AH47" s="6"/>
      <c r="AI47" s="6"/>
      <c r="AJ47" s="6"/>
    </row>
    <row r="48" customFormat="false" ht="15" hidden="false" customHeight="false" outlineLevel="0" collapsed="false">
      <c r="A48" s="6" t="s">
        <v>588</v>
      </c>
      <c r="B48" s="6" t="s">
        <v>589</v>
      </c>
      <c r="C48" s="6" t="n">
        <v>2021</v>
      </c>
      <c r="D48" s="6" t="s">
        <v>590</v>
      </c>
      <c r="E48" s="6" t="n">
        <v>2</v>
      </c>
      <c r="F48" s="6" t="s">
        <v>591</v>
      </c>
      <c r="G48" s="6" t="s">
        <v>314</v>
      </c>
      <c r="H48" s="6" t="s">
        <v>315</v>
      </c>
      <c r="I48" s="6" t="s">
        <v>316</v>
      </c>
      <c r="J48" s="6" t="s">
        <v>592</v>
      </c>
      <c r="K48" s="6" t="s">
        <v>47</v>
      </c>
      <c r="L48" s="6" t="s">
        <v>72</v>
      </c>
      <c r="M48" s="6" t="n">
        <v>33</v>
      </c>
      <c r="N48" s="6" t="s">
        <v>309</v>
      </c>
      <c r="O48" s="6"/>
      <c r="P48" s="6"/>
      <c r="Q48" s="6"/>
      <c r="R48" s="6"/>
      <c r="S48" s="6"/>
      <c r="T48" s="6"/>
      <c r="U48" s="6"/>
      <c r="V48" s="6"/>
      <c r="W48" s="6"/>
      <c r="X48" s="6"/>
      <c r="Y48" s="6"/>
      <c r="Z48" s="6"/>
      <c r="AA48" s="6" t="n">
        <v>1</v>
      </c>
      <c r="AB48" s="6" t="n">
        <v>1</v>
      </c>
      <c r="AC48" s="6"/>
      <c r="AD48" s="6"/>
      <c r="AE48" s="6" t="n">
        <v>1</v>
      </c>
      <c r="AF48" s="6" t="n">
        <v>1</v>
      </c>
      <c r="AG48" s="6"/>
      <c r="AH48" s="6"/>
      <c r="AI48" s="6"/>
      <c r="AJ48" s="6"/>
    </row>
    <row r="49" customFormat="false" ht="15" hidden="false" customHeight="false" outlineLevel="0" collapsed="false">
      <c r="A49" s="6" t="s">
        <v>593</v>
      </c>
      <c r="B49" s="6" t="s">
        <v>594</v>
      </c>
      <c r="C49" s="6" t="n">
        <v>2025</v>
      </c>
      <c r="D49" s="6" t="s">
        <v>595</v>
      </c>
      <c r="E49" s="6" t="n">
        <v>3</v>
      </c>
      <c r="F49" s="6" t="s">
        <v>596</v>
      </c>
      <c r="G49" s="6" t="s">
        <v>247</v>
      </c>
      <c r="H49" s="6" t="s">
        <v>597</v>
      </c>
      <c r="I49" s="6"/>
      <c r="J49" s="6" t="s">
        <v>598</v>
      </c>
      <c r="K49" s="6" t="s">
        <v>47</v>
      </c>
      <c r="L49" s="6" t="s">
        <v>89</v>
      </c>
      <c r="M49" s="6" t="n">
        <v>4</v>
      </c>
      <c r="N49" s="6" t="s">
        <v>300</v>
      </c>
      <c r="O49" s="6"/>
      <c r="P49" s="6" t="n">
        <v>1</v>
      </c>
      <c r="Q49" s="6"/>
      <c r="R49" s="6"/>
      <c r="S49" s="6"/>
      <c r="T49" s="6"/>
      <c r="U49" s="6" t="n">
        <v>1</v>
      </c>
      <c r="V49" s="6"/>
      <c r="W49" s="6" t="n">
        <v>1</v>
      </c>
      <c r="X49" s="6"/>
      <c r="Y49" s="6"/>
      <c r="Z49" s="6"/>
      <c r="AA49" s="6"/>
      <c r="AB49" s="6"/>
      <c r="AC49" s="6"/>
      <c r="AD49" s="6" t="n">
        <v>1</v>
      </c>
      <c r="AE49" s="6" t="n">
        <v>1</v>
      </c>
      <c r="AF49" s="6"/>
      <c r="AG49" s="6"/>
      <c r="AH49" s="6"/>
      <c r="AI49" s="6"/>
      <c r="AJ49" s="6"/>
    </row>
    <row r="50" customFormat="false" ht="15" hidden="false" customHeight="false" outlineLevel="0" collapsed="false">
      <c r="A50" s="6" t="s">
        <v>599</v>
      </c>
      <c r="B50" s="6" t="s">
        <v>600</v>
      </c>
      <c r="C50" s="6" t="n">
        <v>2026</v>
      </c>
      <c r="D50" s="6" t="s">
        <v>601</v>
      </c>
      <c r="E50" s="6" t="n">
        <v>2</v>
      </c>
      <c r="F50" s="6" t="s">
        <v>602</v>
      </c>
      <c r="G50" s="6" t="s">
        <v>603</v>
      </c>
      <c r="H50" s="6" t="s">
        <v>604</v>
      </c>
      <c r="I50" s="6" t="s">
        <v>316</v>
      </c>
      <c r="J50" s="6" t="s">
        <v>605</v>
      </c>
      <c r="K50" s="6" t="s">
        <v>48</v>
      </c>
      <c r="L50" s="6" t="s">
        <v>74</v>
      </c>
      <c r="M50" s="6" t="n">
        <v>0</v>
      </c>
      <c r="N50" s="6" t="s">
        <v>300</v>
      </c>
      <c r="O50" s="6"/>
      <c r="P50" s="6" t="n">
        <v>1</v>
      </c>
      <c r="Q50" s="6"/>
      <c r="R50" s="6"/>
      <c r="S50" s="6"/>
      <c r="T50" s="6"/>
      <c r="U50" s="6" t="n">
        <v>1</v>
      </c>
      <c r="V50" s="6"/>
      <c r="W50" s="6"/>
      <c r="X50" s="6"/>
      <c r="Y50" s="6"/>
      <c r="Z50" s="6"/>
      <c r="AA50" s="6"/>
      <c r="AB50" s="6"/>
      <c r="AC50" s="6"/>
      <c r="AD50" s="6"/>
      <c r="AE50" s="6" t="n">
        <v>1</v>
      </c>
      <c r="AF50" s="6" t="n">
        <v>1</v>
      </c>
      <c r="AG50" s="6" t="n">
        <v>1</v>
      </c>
      <c r="AH50" s="6"/>
      <c r="AI50" s="6"/>
      <c r="AJ50" s="6"/>
    </row>
    <row r="51" customFormat="false" ht="15" hidden="false" customHeight="false" outlineLevel="0" collapsed="false">
      <c r="A51" s="6" t="s">
        <v>606</v>
      </c>
      <c r="B51" s="6" t="s">
        <v>265</v>
      </c>
      <c r="C51" s="6" t="n">
        <v>2024</v>
      </c>
      <c r="D51" s="6" t="s">
        <v>607</v>
      </c>
      <c r="E51" s="6" t="n">
        <v>6</v>
      </c>
      <c r="F51" s="6" t="s">
        <v>264</v>
      </c>
      <c r="G51" s="6" t="s">
        <v>263</v>
      </c>
      <c r="H51" s="6" t="s">
        <v>608</v>
      </c>
      <c r="I51" s="6" t="s">
        <v>415</v>
      </c>
      <c r="J51" s="6" t="s">
        <v>609</v>
      </c>
      <c r="K51" s="6" t="s">
        <v>47</v>
      </c>
      <c r="L51" s="6" t="s">
        <v>78</v>
      </c>
      <c r="M51" s="6" t="n">
        <v>45</v>
      </c>
      <c r="N51" s="6" t="s">
        <v>300</v>
      </c>
      <c r="O51" s="6"/>
      <c r="P51" s="6" t="n">
        <v>1</v>
      </c>
      <c r="Q51" s="6"/>
      <c r="R51" s="6"/>
      <c r="S51" s="6"/>
      <c r="T51" s="6"/>
      <c r="U51" s="6" t="n">
        <v>1</v>
      </c>
      <c r="V51" s="6"/>
      <c r="W51" s="6"/>
      <c r="X51" s="6"/>
      <c r="Y51" s="6"/>
      <c r="Z51" s="6"/>
      <c r="AA51" s="6"/>
      <c r="AB51" s="6"/>
      <c r="AC51" s="6"/>
      <c r="AD51" s="6"/>
      <c r="AE51" s="6"/>
      <c r="AF51" s="6"/>
      <c r="AG51" s="6"/>
      <c r="AH51" s="6"/>
      <c r="AI51" s="6"/>
      <c r="AJ51" s="6"/>
    </row>
    <row r="52" customFormat="false" ht="15" hidden="false" customHeight="false" outlineLevel="0" collapsed="false">
      <c r="A52" s="6" t="s">
        <v>610</v>
      </c>
      <c r="B52" s="6" t="s">
        <v>611</v>
      </c>
      <c r="C52" s="6" t="n">
        <v>2026</v>
      </c>
      <c r="D52" s="6" t="s">
        <v>612</v>
      </c>
      <c r="E52" s="6" t="n">
        <v>2</v>
      </c>
      <c r="F52" s="6" t="s">
        <v>613</v>
      </c>
      <c r="G52" s="6" t="s">
        <v>614</v>
      </c>
      <c r="H52" s="6"/>
      <c r="I52" s="6"/>
      <c r="J52" s="6"/>
      <c r="K52" s="6" t="s">
        <v>47</v>
      </c>
      <c r="L52" s="6" t="s">
        <v>85</v>
      </c>
      <c r="M52" s="6" t="n">
        <v>0</v>
      </c>
      <c r="N52" s="6" t="s">
        <v>300</v>
      </c>
      <c r="O52" s="6"/>
      <c r="P52" s="6"/>
      <c r="Q52" s="6"/>
      <c r="R52" s="6" t="n">
        <v>1</v>
      </c>
      <c r="S52" s="6"/>
      <c r="T52" s="6" t="n">
        <v>1</v>
      </c>
      <c r="U52" s="6"/>
      <c r="V52" s="6"/>
      <c r="W52" s="6"/>
      <c r="X52" s="6"/>
      <c r="Y52" s="6"/>
      <c r="Z52" s="6"/>
      <c r="AA52" s="6"/>
      <c r="AB52" s="6"/>
      <c r="AC52" s="6" t="n">
        <v>1</v>
      </c>
      <c r="AD52" s="6"/>
      <c r="AE52" s="6"/>
      <c r="AF52" s="6"/>
      <c r="AG52" s="6"/>
      <c r="AH52" s="6"/>
      <c r="AI52" s="6" t="n">
        <v>1</v>
      </c>
      <c r="AJ52" s="6"/>
    </row>
    <row r="53" customFormat="false" ht="15" hidden="false" customHeight="false" outlineLevel="0" collapsed="false">
      <c r="A53" s="6" t="s">
        <v>615</v>
      </c>
      <c r="B53" s="6" t="s">
        <v>616</v>
      </c>
      <c r="C53" s="6" t="n">
        <v>2024</v>
      </c>
      <c r="D53" s="6" t="s">
        <v>617</v>
      </c>
      <c r="E53" s="6" t="n">
        <v>1</v>
      </c>
      <c r="F53" s="6" t="s">
        <v>618</v>
      </c>
      <c r="G53" s="6" t="s">
        <v>314</v>
      </c>
      <c r="H53" s="6" t="s">
        <v>619</v>
      </c>
      <c r="I53" s="6" t="s">
        <v>353</v>
      </c>
      <c r="J53" s="6" t="s">
        <v>620</v>
      </c>
      <c r="K53" s="6" t="s">
        <v>47</v>
      </c>
      <c r="L53" s="6" t="s">
        <v>74</v>
      </c>
      <c r="M53" s="6" t="n">
        <v>19</v>
      </c>
      <c r="N53" s="6" t="s">
        <v>309</v>
      </c>
      <c r="O53" s="6"/>
      <c r="P53" s="6"/>
      <c r="Q53" s="6" t="n">
        <v>1</v>
      </c>
      <c r="R53" s="6"/>
      <c r="S53" s="6" t="n">
        <v>1</v>
      </c>
      <c r="T53" s="6"/>
      <c r="U53" s="6"/>
      <c r="V53" s="6"/>
      <c r="W53" s="6"/>
      <c r="X53" s="6" t="n">
        <v>1</v>
      </c>
      <c r="Y53" s="6"/>
      <c r="Z53" s="6"/>
      <c r="AA53" s="6"/>
      <c r="AB53" s="6"/>
      <c r="AC53" s="6"/>
      <c r="AD53" s="6"/>
      <c r="AE53" s="6"/>
      <c r="AF53" s="6"/>
      <c r="AG53" s="6"/>
      <c r="AH53" s="6"/>
      <c r="AI53" s="6"/>
      <c r="AJ53" s="6"/>
    </row>
    <row r="54" customFormat="false" ht="15" hidden="false" customHeight="false" outlineLevel="0" collapsed="false">
      <c r="A54" s="6" t="s">
        <v>621</v>
      </c>
      <c r="B54" s="6" t="s">
        <v>622</v>
      </c>
      <c r="C54" s="6" t="n">
        <v>2018</v>
      </c>
      <c r="D54" s="6" t="s">
        <v>623</v>
      </c>
      <c r="E54" s="6" t="n">
        <v>1</v>
      </c>
      <c r="F54" s="6" t="s">
        <v>624</v>
      </c>
      <c r="G54" s="6" t="s">
        <v>535</v>
      </c>
      <c r="H54" s="6" t="s">
        <v>388</v>
      </c>
      <c r="I54" s="6" t="s">
        <v>361</v>
      </c>
      <c r="J54" s="6" t="s">
        <v>625</v>
      </c>
      <c r="K54" s="6" t="s">
        <v>47</v>
      </c>
      <c r="L54" s="6" t="s">
        <v>72</v>
      </c>
      <c r="M54" s="6" t="n">
        <v>21</v>
      </c>
      <c r="N54" s="6" t="s">
        <v>309</v>
      </c>
      <c r="O54" s="6"/>
      <c r="P54" s="6" t="n">
        <v>1</v>
      </c>
      <c r="Q54" s="6"/>
      <c r="R54" s="6" t="n">
        <v>1</v>
      </c>
      <c r="S54" s="6"/>
      <c r="T54" s="6" t="n">
        <v>1</v>
      </c>
      <c r="U54" s="6" t="n">
        <v>1</v>
      </c>
      <c r="V54" s="6"/>
      <c r="W54" s="6"/>
      <c r="X54" s="6" t="n">
        <v>1</v>
      </c>
      <c r="Y54" s="6" t="n">
        <v>1</v>
      </c>
      <c r="Z54" s="6" t="n">
        <v>1</v>
      </c>
      <c r="AA54" s="6"/>
      <c r="AB54" s="6"/>
      <c r="AC54" s="6"/>
      <c r="AD54" s="6"/>
      <c r="AE54" s="6"/>
      <c r="AF54" s="6"/>
      <c r="AG54" s="6"/>
      <c r="AH54" s="6"/>
      <c r="AI54" s="6"/>
      <c r="AJ54" s="6"/>
    </row>
    <row r="55" customFormat="false" ht="15" hidden="false" customHeight="false" outlineLevel="0" collapsed="false">
      <c r="A55" s="6" t="s">
        <v>626</v>
      </c>
      <c r="B55" s="6" t="s">
        <v>245</v>
      </c>
      <c r="C55" s="6" t="n">
        <v>2019</v>
      </c>
      <c r="D55" s="6" t="s">
        <v>627</v>
      </c>
      <c r="E55" s="6" t="n">
        <v>1</v>
      </c>
      <c r="F55" s="6" t="s">
        <v>244</v>
      </c>
      <c r="G55" s="6" t="s">
        <v>243</v>
      </c>
      <c r="H55" s="6" t="s">
        <v>628</v>
      </c>
      <c r="I55" s="6" t="s">
        <v>316</v>
      </c>
      <c r="J55" s="6" t="s">
        <v>629</v>
      </c>
      <c r="K55" s="6" t="s">
        <v>47</v>
      </c>
      <c r="L55" s="6" t="s">
        <v>78</v>
      </c>
      <c r="M55" s="6" t="n">
        <v>68</v>
      </c>
      <c r="N55" s="6" t="s">
        <v>309</v>
      </c>
      <c r="O55" s="6"/>
      <c r="P55" s="6"/>
      <c r="Q55" s="6"/>
      <c r="R55" s="6" t="n">
        <v>1</v>
      </c>
      <c r="S55" s="6"/>
      <c r="T55" s="6"/>
      <c r="U55" s="6"/>
      <c r="V55" s="6"/>
      <c r="W55" s="6"/>
      <c r="X55" s="6"/>
      <c r="Y55" s="6"/>
      <c r="Z55" s="6"/>
      <c r="AA55" s="6"/>
      <c r="AB55" s="6"/>
      <c r="AC55" s="6"/>
      <c r="AD55" s="6"/>
      <c r="AE55" s="6"/>
      <c r="AF55" s="6"/>
      <c r="AG55" s="6"/>
      <c r="AH55" s="6"/>
      <c r="AI55" s="6"/>
      <c r="AJ55" s="6"/>
    </row>
    <row r="56" customFormat="false" ht="15" hidden="false" customHeight="false" outlineLevel="0" collapsed="false">
      <c r="A56" s="6" t="s">
        <v>630</v>
      </c>
      <c r="B56" s="6" t="s">
        <v>631</v>
      </c>
      <c r="C56" s="6" t="n">
        <v>2026</v>
      </c>
      <c r="D56" s="6" t="s">
        <v>632</v>
      </c>
      <c r="E56" s="6" t="n">
        <v>2</v>
      </c>
      <c r="F56" s="6" t="s">
        <v>633</v>
      </c>
      <c r="G56" s="6" t="s">
        <v>634</v>
      </c>
      <c r="H56" s="6" t="s">
        <v>360</v>
      </c>
      <c r="I56" s="6" t="s">
        <v>324</v>
      </c>
      <c r="J56" s="6" t="s">
        <v>635</v>
      </c>
      <c r="K56" s="6" t="s">
        <v>47</v>
      </c>
      <c r="L56" s="6" t="s">
        <v>636</v>
      </c>
      <c r="M56" s="6" t="n">
        <v>1</v>
      </c>
      <c r="N56" s="6" t="s">
        <v>300</v>
      </c>
      <c r="O56" s="6"/>
      <c r="P56" s="6"/>
      <c r="Q56" s="6" t="n">
        <v>1</v>
      </c>
      <c r="R56" s="6" t="n">
        <v>1</v>
      </c>
      <c r="S56" s="6"/>
      <c r="T56" s="6"/>
      <c r="U56" s="6" t="n">
        <v>1</v>
      </c>
      <c r="V56" s="6"/>
      <c r="W56" s="6"/>
      <c r="X56" s="6"/>
      <c r="Y56" s="6"/>
      <c r="Z56" s="6"/>
      <c r="AA56" s="6"/>
      <c r="AB56" s="6" t="n">
        <v>1</v>
      </c>
      <c r="AC56" s="6" t="n">
        <v>1</v>
      </c>
      <c r="AD56" s="6"/>
      <c r="AE56" s="6"/>
      <c r="AF56" s="6" t="n">
        <v>1</v>
      </c>
      <c r="AG56" s="6"/>
      <c r="AH56" s="6"/>
      <c r="AI56" s="6"/>
      <c r="AJ56" s="6"/>
    </row>
    <row r="57" customFormat="false" ht="15" hidden="false" customHeight="false" outlineLevel="0" collapsed="false">
      <c r="A57" s="6" t="s">
        <v>637</v>
      </c>
      <c r="B57" s="6"/>
      <c r="C57" s="6" t="n">
        <v>2023</v>
      </c>
      <c r="D57" s="6" t="s">
        <v>638</v>
      </c>
      <c r="E57" s="6" t="n">
        <v>2</v>
      </c>
      <c r="F57" s="6" t="s">
        <v>639</v>
      </c>
      <c r="G57" s="6" t="s">
        <v>640</v>
      </c>
      <c r="H57" s="6" t="s">
        <v>619</v>
      </c>
      <c r="I57" s="6" t="s">
        <v>324</v>
      </c>
      <c r="J57" s="6"/>
      <c r="K57" s="6" t="s">
        <v>47</v>
      </c>
      <c r="L57" s="6"/>
      <c r="M57" s="6" t="n">
        <v>7</v>
      </c>
      <c r="N57" s="6" t="s">
        <v>309</v>
      </c>
      <c r="O57" s="6"/>
      <c r="P57" s="6"/>
      <c r="Q57" s="6"/>
      <c r="R57" s="6" t="n">
        <v>1</v>
      </c>
      <c r="S57" s="6"/>
      <c r="T57" s="6"/>
      <c r="U57" s="6"/>
      <c r="V57" s="6"/>
      <c r="W57" s="6"/>
      <c r="X57" s="6"/>
      <c r="Y57" s="6"/>
      <c r="Z57" s="6" t="n">
        <v>1</v>
      </c>
      <c r="AA57" s="6"/>
      <c r="AB57" s="6" t="n">
        <v>1</v>
      </c>
      <c r="AC57" s="6"/>
      <c r="AD57" s="6" t="n">
        <v>1</v>
      </c>
      <c r="AE57" s="6"/>
      <c r="AF57" s="6" t="n">
        <v>1</v>
      </c>
      <c r="AG57" s="6"/>
      <c r="AH57" s="6"/>
      <c r="AI57" s="6"/>
      <c r="AJ57" s="6"/>
    </row>
    <row r="58" customFormat="false" ht="15" hidden="false" customHeight="false" outlineLevel="0" collapsed="false">
      <c r="A58" s="6" t="s">
        <v>641</v>
      </c>
      <c r="B58" s="6" t="s">
        <v>642</v>
      </c>
      <c r="C58" s="6" t="n">
        <v>2018</v>
      </c>
      <c r="D58" s="6" t="s">
        <v>643</v>
      </c>
      <c r="E58" s="6" t="n">
        <v>2</v>
      </c>
      <c r="F58" s="6" t="s">
        <v>644</v>
      </c>
      <c r="G58" s="6" t="s">
        <v>535</v>
      </c>
      <c r="H58" s="6" t="s">
        <v>388</v>
      </c>
      <c r="I58" s="6" t="s">
        <v>298</v>
      </c>
      <c r="J58" s="6" t="s">
        <v>645</v>
      </c>
      <c r="K58" s="6" t="s">
        <v>47</v>
      </c>
      <c r="L58" s="6" t="s">
        <v>72</v>
      </c>
      <c r="M58" s="6" t="n">
        <v>2</v>
      </c>
      <c r="N58" s="6" t="s">
        <v>309</v>
      </c>
      <c r="O58" s="6"/>
      <c r="P58" s="6" t="n">
        <v>1</v>
      </c>
      <c r="Q58" s="6"/>
      <c r="R58" s="6"/>
      <c r="S58" s="6"/>
      <c r="T58" s="6"/>
      <c r="U58" s="6"/>
      <c r="V58" s="6"/>
      <c r="W58" s="6"/>
      <c r="X58" s="6"/>
      <c r="Y58" s="6"/>
      <c r="Z58" s="6" t="n">
        <v>1</v>
      </c>
      <c r="AA58" s="6"/>
      <c r="AB58" s="6"/>
      <c r="AC58" s="6"/>
      <c r="AD58" s="6"/>
      <c r="AE58" s="6"/>
      <c r="AF58" s="6"/>
      <c r="AG58" s="6"/>
      <c r="AH58" s="6"/>
      <c r="AI58" s="6"/>
      <c r="AJ58" s="6"/>
    </row>
    <row r="59" customFormat="false" ht="15" hidden="false" customHeight="false" outlineLevel="0" collapsed="false">
      <c r="A59" s="6" t="s">
        <v>646</v>
      </c>
      <c r="B59" s="6"/>
      <c r="C59" s="6" t="n">
        <v>2026</v>
      </c>
      <c r="D59" s="6" t="s">
        <v>647</v>
      </c>
      <c r="E59" s="6" t="n">
        <v>1</v>
      </c>
      <c r="F59" s="6" t="s">
        <v>648</v>
      </c>
      <c r="G59" s="6" t="s">
        <v>649</v>
      </c>
      <c r="H59" s="6" t="s">
        <v>422</v>
      </c>
      <c r="I59" s="6" t="s">
        <v>316</v>
      </c>
      <c r="J59" s="6" t="s">
        <v>650</v>
      </c>
      <c r="K59" s="6" t="s">
        <v>47</v>
      </c>
      <c r="L59" s="6" t="s">
        <v>74</v>
      </c>
      <c r="M59" s="6" t="n">
        <v>0</v>
      </c>
      <c r="N59" s="6" t="s">
        <v>309</v>
      </c>
      <c r="O59" s="6"/>
      <c r="P59" s="6"/>
      <c r="Q59" s="6"/>
      <c r="R59" s="6" t="n">
        <v>1</v>
      </c>
      <c r="S59" s="6" t="n">
        <v>1</v>
      </c>
      <c r="T59" s="6" t="n">
        <v>1</v>
      </c>
      <c r="U59" s="6" t="n">
        <v>1</v>
      </c>
      <c r="V59" s="6"/>
      <c r="W59" s="6"/>
      <c r="X59" s="6"/>
      <c r="Y59" s="6"/>
      <c r="Z59" s="6" t="n">
        <v>1</v>
      </c>
      <c r="AA59" s="6" t="n">
        <v>1</v>
      </c>
      <c r="AB59" s="6"/>
      <c r="AC59" s="6"/>
      <c r="AD59" s="6"/>
      <c r="AE59" s="6"/>
      <c r="AF59" s="6" t="n">
        <v>1</v>
      </c>
      <c r="AG59" s="6"/>
      <c r="AH59" s="6" t="n">
        <v>1</v>
      </c>
      <c r="AI59" s="6"/>
      <c r="AJ59" s="6"/>
    </row>
    <row r="60" customFormat="false" ht="15" hidden="false" customHeight="false" outlineLevel="0" collapsed="false">
      <c r="A60" s="6" t="s">
        <v>651</v>
      </c>
      <c r="B60" s="6" t="s">
        <v>652</v>
      </c>
      <c r="C60" s="6" t="n">
        <v>2025</v>
      </c>
      <c r="D60" s="6" t="s">
        <v>653</v>
      </c>
      <c r="E60" s="6" t="n">
        <v>2</v>
      </c>
      <c r="F60" s="6" t="s">
        <v>654</v>
      </c>
      <c r="G60" s="6" t="s">
        <v>247</v>
      </c>
      <c r="H60" s="6" t="s">
        <v>597</v>
      </c>
      <c r="I60" s="6"/>
      <c r="J60" s="6" t="s">
        <v>655</v>
      </c>
      <c r="K60" s="6" t="s">
        <v>47</v>
      </c>
      <c r="L60" s="6" t="s">
        <v>80</v>
      </c>
      <c r="M60" s="6" t="n">
        <v>3</v>
      </c>
      <c r="N60" s="6" t="s">
        <v>300</v>
      </c>
      <c r="O60" s="6"/>
      <c r="P60" s="6"/>
      <c r="Q60" s="6"/>
      <c r="R60" s="6"/>
      <c r="S60" s="6"/>
      <c r="T60" s="6"/>
      <c r="U60" s="6" t="n">
        <v>1</v>
      </c>
      <c r="V60" s="6"/>
      <c r="W60" s="6"/>
      <c r="X60" s="6"/>
      <c r="Y60" s="6" t="n">
        <v>1</v>
      </c>
      <c r="Z60" s="6"/>
      <c r="AA60" s="6"/>
      <c r="AB60" s="6"/>
      <c r="AC60" s="6"/>
      <c r="AD60" s="6"/>
      <c r="AE60" s="6"/>
      <c r="AF60" s="6"/>
      <c r="AG60" s="6"/>
      <c r="AH60" s="6"/>
      <c r="AI60" s="6"/>
      <c r="AJ60" s="6" t="n">
        <v>1</v>
      </c>
    </row>
    <row r="61" customFormat="false" ht="15" hidden="false" customHeight="false" outlineLevel="0" collapsed="false">
      <c r="A61" s="6" t="s">
        <v>656</v>
      </c>
      <c r="B61" s="6" t="s">
        <v>657</v>
      </c>
      <c r="C61" s="6" t="n">
        <v>2020</v>
      </c>
      <c r="D61" s="6" t="s">
        <v>658</v>
      </c>
      <c r="E61" s="6" t="n">
        <v>2</v>
      </c>
      <c r="F61" s="6" t="s">
        <v>659</v>
      </c>
      <c r="G61" s="6" t="s">
        <v>660</v>
      </c>
      <c r="H61" s="6" t="s">
        <v>619</v>
      </c>
      <c r="I61" s="6" t="s">
        <v>324</v>
      </c>
      <c r="J61" s="6" t="s">
        <v>661</v>
      </c>
      <c r="K61" s="6" t="s">
        <v>47</v>
      </c>
      <c r="L61" s="6" t="s">
        <v>72</v>
      </c>
      <c r="M61" s="6" t="n">
        <v>5</v>
      </c>
      <c r="N61" s="6" t="s">
        <v>309</v>
      </c>
      <c r="O61" s="6"/>
      <c r="P61" s="6"/>
      <c r="Q61" s="6"/>
      <c r="R61" s="6" t="n">
        <v>1</v>
      </c>
      <c r="S61" s="6"/>
      <c r="T61" s="6"/>
      <c r="U61" s="6"/>
      <c r="V61" s="6"/>
      <c r="W61" s="6"/>
      <c r="X61" s="6" t="n">
        <v>1</v>
      </c>
      <c r="Y61" s="6"/>
      <c r="Z61" s="6"/>
      <c r="AA61" s="6" t="n">
        <v>1</v>
      </c>
      <c r="AB61" s="6"/>
      <c r="AC61" s="6"/>
      <c r="AD61" s="6"/>
      <c r="AE61" s="6"/>
      <c r="AF61" s="6"/>
      <c r="AG61" s="6"/>
      <c r="AH61" s="6"/>
      <c r="AI61" s="6"/>
      <c r="AJ61" s="6"/>
    </row>
    <row r="62" customFormat="false" ht="15" hidden="false" customHeight="false" outlineLevel="0" collapsed="false">
      <c r="A62" s="6" t="s">
        <v>662</v>
      </c>
      <c r="B62" s="6" t="s">
        <v>663</v>
      </c>
      <c r="C62" s="6" t="n">
        <v>2018</v>
      </c>
      <c r="D62" s="6" t="s">
        <v>664</v>
      </c>
      <c r="E62" s="6" t="n">
        <v>2</v>
      </c>
      <c r="F62" s="6" t="s">
        <v>665</v>
      </c>
      <c r="G62" s="6" t="s">
        <v>387</v>
      </c>
      <c r="H62" s="6" t="s">
        <v>666</v>
      </c>
      <c r="I62" s="6"/>
      <c r="J62" s="6" t="s">
        <v>667</v>
      </c>
      <c r="K62" s="6" t="s">
        <v>47</v>
      </c>
      <c r="L62" s="6" t="s">
        <v>72</v>
      </c>
      <c r="M62" s="6" t="n">
        <v>27</v>
      </c>
      <c r="N62" s="6" t="s">
        <v>309</v>
      </c>
      <c r="O62" s="6"/>
      <c r="P62" s="6"/>
      <c r="Q62" s="6"/>
      <c r="R62" s="6"/>
      <c r="S62" s="6"/>
      <c r="T62" s="6"/>
      <c r="U62" s="6"/>
      <c r="V62" s="6"/>
      <c r="W62" s="6"/>
      <c r="X62" s="6"/>
      <c r="Y62" s="6"/>
      <c r="Z62" s="6"/>
      <c r="AA62" s="6"/>
      <c r="AB62" s="6" t="n">
        <v>1</v>
      </c>
      <c r="AC62" s="6"/>
      <c r="AD62" s="6"/>
      <c r="AE62" s="6"/>
      <c r="AF62" s="6"/>
      <c r="AG62" s="6" t="n">
        <v>1</v>
      </c>
      <c r="AH62" s="6"/>
      <c r="AI62" s="6"/>
      <c r="AJ62" s="6"/>
    </row>
    <row r="63" customFormat="false" ht="15" hidden="false" customHeight="false" outlineLevel="0" collapsed="false">
      <c r="A63" s="6" t="s">
        <v>668</v>
      </c>
      <c r="B63" s="6" t="s">
        <v>237</v>
      </c>
      <c r="C63" s="6" t="n">
        <v>2023</v>
      </c>
      <c r="D63" s="6" t="s">
        <v>669</v>
      </c>
      <c r="E63" s="6" t="n">
        <v>7</v>
      </c>
      <c r="F63" s="6" t="s">
        <v>236</v>
      </c>
      <c r="G63" s="6" t="s">
        <v>235</v>
      </c>
      <c r="H63" s="6" t="s">
        <v>628</v>
      </c>
      <c r="I63" s="6" t="s">
        <v>353</v>
      </c>
      <c r="J63" s="6" t="s">
        <v>670</v>
      </c>
      <c r="K63" s="6" t="s">
        <v>47</v>
      </c>
      <c r="L63" s="6" t="s">
        <v>108</v>
      </c>
      <c r="M63" s="6" t="n">
        <v>74</v>
      </c>
      <c r="N63" s="6" t="s">
        <v>300</v>
      </c>
      <c r="O63" s="6"/>
      <c r="P63" s="6" t="n">
        <v>1</v>
      </c>
      <c r="Q63" s="6"/>
      <c r="R63" s="6" t="n">
        <v>1</v>
      </c>
      <c r="S63" s="6" t="n">
        <v>1</v>
      </c>
      <c r="T63" s="6" t="n">
        <v>1</v>
      </c>
      <c r="U63" s="6"/>
      <c r="V63" s="6"/>
      <c r="W63" s="6"/>
      <c r="X63" s="6"/>
      <c r="Y63" s="6"/>
      <c r="Z63" s="6" t="n">
        <v>1</v>
      </c>
      <c r="AA63" s="6" t="n">
        <v>1</v>
      </c>
      <c r="AB63" s="6"/>
      <c r="AC63" s="6"/>
      <c r="AD63" s="6"/>
      <c r="AE63" s="6"/>
      <c r="AF63" s="6" t="n">
        <v>1</v>
      </c>
      <c r="AG63" s="6"/>
      <c r="AH63" s="6"/>
      <c r="AI63" s="6"/>
      <c r="AJ63" s="6"/>
    </row>
    <row r="64" customFormat="false" ht="15" hidden="false" customHeight="false" outlineLevel="0" collapsed="false">
      <c r="A64" s="6" t="s">
        <v>671</v>
      </c>
      <c r="B64" s="6" t="s">
        <v>672</v>
      </c>
      <c r="C64" s="6" t="n">
        <v>2025</v>
      </c>
      <c r="D64" s="6" t="s">
        <v>673</v>
      </c>
      <c r="E64" s="6" t="n">
        <v>3</v>
      </c>
      <c r="F64" s="6" t="s">
        <v>674</v>
      </c>
      <c r="G64" s="6" t="s">
        <v>675</v>
      </c>
      <c r="H64" s="6" t="s">
        <v>515</v>
      </c>
      <c r="I64" s="6" t="s">
        <v>324</v>
      </c>
      <c r="J64" s="6" t="s">
        <v>676</v>
      </c>
      <c r="K64" s="6" t="s">
        <v>47</v>
      </c>
      <c r="L64" s="6" t="s">
        <v>103</v>
      </c>
      <c r="M64" s="6" t="n">
        <v>6</v>
      </c>
      <c r="N64" s="6" t="s">
        <v>300</v>
      </c>
      <c r="O64" s="6"/>
      <c r="P64" s="6"/>
      <c r="Q64" s="6"/>
      <c r="R64" s="6" t="n">
        <v>1</v>
      </c>
      <c r="S64" s="6"/>
      <c r="T64" s="6"/>
      <c r="U64" s="6" t="n">
        <v>1</v>
      </c>
      <c r="V64" s="6"/>
      <c r="W64" s="6" t="n">
        <v>1</v>
      </c>
      <c r="X64" s="6"/>
      <c r="Y64" s="6"/>
      <c r="Z64" s="6"/>
      <c r="AA64" s="6"/>
      <c r="AB64" s="6"/>
      <c r="AC64" s="6" t="n">
        <v>1</v>
      </c>
      <c r="AD64" s="6"/>
      <c r="AE64" s="6"/>
      <c r="AF64" s="6"/>
      <c r="AG64" s="6"/>
      <c r="AH64" s="6"/>
      <c r="AI64" s="6" t="n">
        <v>1</v>
      </c>
      <c r="AJ64" s="6"/>
    </row>
    <row r="65" customFormat="false" ht="15" hidden="false" customHeight="false" outlineLevel="0" collapsed="false">
      <c r="A65" s="6" t="s">
        <v>677</v>
      </c>
      <c r="B65" s="6" t="s">
        <v>678</v>
      </c>
      <c r="C65" s="6" t="n">
        <v>2026</v>
      </c>
      <c r="D65" s="6" t="s">
        <v>673</v>
      </c>
      <c r="E65" s="6" t="n">
        <v>3</v>
      </c>
      <c r="F65" s="6" t="s">
        <v>679</v>
      </c>
      <c r="G65" s="6" t="s">
        <v>680</v>
      </c>
      <c r="H65" s="6" t="s">
        <v>465</v>
      </c>
      <c r="I65" s="6" t="s">
        <v>324</v>
      </c>
      <c r="J65" s="6" t="s">
        <v>681</v>
      </c>
      <c r="K65" s="6" t="s">
        <v>47</v>
      </c>
      <c r="L65" s="6" t="s">
        <v>86</v>
      </c>
      <c r="M65" s="6" t="n">
        <v>0</v>
      </c>
      <c r="N65" s="6" t="s">
        <v>300</v>
      </c>
      <c r="O65" s="6"/>
      <c r="P65" s="6"/>
      <c r="Q65" s="6" t="n">
        <v>1</v>
      </c>
      <c r="R65" s="6"/>
      <c r="S65" s="6"/>
      <c r="T65" s="6"/>
      <c r="U65" s="6" t="n">
        <v>1</v>
      </c>
      <c r="V65" s="6"/>
      <c r="W65" s="6"/>
      <c r="X65" s="6"/>
      <c r="Y65" s="6"/>
      <c r="Z65" s="6"/>
      <c r="AA65" s="6"/>
      <c r="AB65" s="6"/>
      <c r="AC65" s="6"/>
      <c r="AD65" s="6"/>
      <c r="AE65" s="6" t="n">
        <v>1</v>
      </c>
      <c r="AF65" s="6" t="n">
        <v>1</v>
      </c>
      <c r="AG65" s="6"/>
      <c r="AH65" s="6"/>
      <c r="AI65" s="6" t="n">
        <v>1</v>
      </c>
      <c r="AJ65" s="6"/>
    </row>
    <row r="66" customFormat="false" ht="15" hidden="false" customHeight="false" outlineLevel="0" collapsed="false">
      <c r="A66" s="6" t="s">
        <v>682</v>
      </c>
      <c r="B66" s="6" t="s">
        <v>683</v>
      </c>
      <c r="C66" s="6" t="n">
        <v>2026</v>
      </c>
      <c r="D66" s="6" t="s">
        <v>684</v>
      </c>
      <c r="E66" s="6" t="n">
        <v>4</v>
      </c>
      <c r="F66" s="6" t="s">
        <v>685</v>
      </c>
      <c r="G66" s="6" t="s">
        <v>686</v>
      </c>
      <c r="H66" s="6" t="s">
        <v>574</v>
      </c>
      <c r="I66" s="6" t="s">
        <v>316</v>
      </c>
      <c r="J66" s="6" t="s">
        <v>687</v>
      </c>
      <c r="K66" s="6" t="s">
        <v>47</v>
      </c>
      <c r="L66" s="6" t="s">
        <v>78</v>
      </c>
      <c r="M66" s="6" t="n">
        <v>0</v>
      </c>
      <c r="N66" s="6" t="s">
        <v>300</v>
      </c>
      <c r="O66" s="6"/>
      <c r="P66" s="6"/>
      <c r="Q66" s="6"/>
      <c r="R66" s="6"/>
      <c r="S66" s="6"/>
      <c r="T66" s="6" t="n">
        <v>1</v>
      </c>
      <c r="U66" s="6"/>
      <c r="V66" s="6"/>
      <c r="W66" s="6"/>
      <c r="X66" s="6" t="n">
        <v>1</v>
      </c>
      <c r="Y66" s="6"/>
      <c r="Z66" s="6"/>
      <c r="AA66" s="6"/>
      <c r="AB66" s="6"/>
      <c r="AC66" s="6"/>
      <c r="AD66" s="6"/>
      <c r="AE66" s="6" t="n">
        <v>1</v>
      </c>
      <c r="AF66" s="6"/>
      <c r="AG66" s="6"/>
      <c r="AH66" s="6"/>
      <c r="AI66" s="6"/>
      <c r="AJ66" s="6"/>
    </row>
    <row r="67" customFormat="false" ht="15" hidden="false" customHeight="false" outlineLevel="0" collapsed="false">
      <c r="A67" s="6" t="s">
        <v>688</v>
      </c>
      <c r="B67" s="6" t="s">
        <v>689</v>
      </c>
      <c r="C67" s="6" t="n">
        <v>2025</v>
      </c>
      <c r="D67" s="6" t="s">
        <v>690</v>
      </c>
      <c r="E67" s="6" t="n">
        <v>2</v>
      </c>
      <c r="F67" s="6" t="s">
        <v>691</v>
      </c>
      <c r="G67" s="6" t="s">
        <v>247</v>
      </c>
      <c r="H67" s="6" t="s">
        <v>597</v>
      </c>
      <c r="I67" s="6"/>
      <c r="J67" s="6" t="s">
        <v>692</v>
      </c>
      <c r="K67" s="6" t="s">
        <v>47</v>
      </c>
      <c r="L67" s="6" t="s">
        <v>80</v>
      </c>
      <c r="M67" s="6" t="n">
        <v>5</v>
      </c>
      <c r="N67" s="6" t="s">
        <v>309</v>
      </c>
      <c r="O67" s="6"/>
      <c r="P67" s="6"/>
      <c r="Q67" s="6"/>
      <c r="R67" s="6"/>
      <c r="S67" s="6"/>
      <c r="T67" s="6"/>
      <c r="U67" s="6" t="n">
        <v>1</v>
      </c>
      <c r="V67" s="6"/>
      <c r="W67" s="6"/>
      <c r="X67" s="6"/>
      <c r="Y67" s="6" t="n">
        <v>1</v>
      </c>
      <c r="Z67" s="6"/>
      <c r="AA67" s="6"/>
      <c r="AB67" s="6"/>
      <c r="AC67" s="6" t="n">
        <v>1</v>
      </c>
      <c r="AD67" s="6"/>
      <c r="AE67" s="6"/>
      <c r="AF67" s="6"/>
      <c r="AG67" s="6"/>
      <c r="AH67" s="6"/>
      <c r="AI67" s="6"/>
      <c r="AJ67" s="6" t="n">
        <v>1</v>
      </c>
    </row>
    <row r="68" customFormat="false" ht="15" hidden="false" customHeight="false" outlineLevel="0" collapsed="false">
      <c r="A68" s="6" t="s">
        <v>693</v>
      </c>
      <c r="B68" s="6" t="s">
        <v>694</v>
      </c>
      <c r="C68" s="6" t="n">
        <v>2026</v>
      </c>
      <c r="D68" s="6" t="s">
        <v>695</v>
      </c>
      <c r="E68" s="6" t="n">
        <v>3</v>
      </c>
      <c r="F68" s="6" t="s">
        <v>696</v>
      </c>
      <c r="G68" s="6" t="s">
        <v>697</v>
      </c>
      <c r="H68" s="6" t="s">
        <v>345</v>
      </c>
      <c r="I68" s="6" t="s">
        <v>316</v>
      </c>
      <c r="J68" s="6" t="s">
        <v>698</v>
      </c>
      <c r="K68" s="6" t="s">
        <v>47</v>
      </c>
      <c r="L68" s="6" t="s">
        <v>74</v>
      </c>
      <c r="M68" s="6" t="n">
        <v>0</v>
      </c>
      <c r="N68" s="6" t="s">
        <v>300</v>
      </c>
      <c r="O68" s="6"/>
      <c r="P68" s="6" t="n">
        <v>1</v>
      </c>
      <c r="Q68" s="6"/>
      <c r="R68" s="6"/>
      <c r="S68" s="6"/>
      <c r="T68" s="6"/>
      <c r="U68" s="6"/>
      <c r="V68" s="6"/>
      <c r="W68" s="6" t="n">
        <v>1</v>
      </c>
      <c r="X68" s="6"/>
      <c r="Y68" s="6"/>
      <c r="Z68" s="6" t="n">
        <v>1</v>
      </c>
      <c r="AA68" s="6"/>
      <c r="AB68" s="6"/>
      <c r="AC68" s="6"/>
      <c r="AD68" s="6"/>
      <c r="AE68" s="6"/>
      <c r="AF68" s="6"/>
      <c r="AG68" s="6"/>
      <c r="AH68" s="6"/>
      <c r="AI68" s="6"/>
      <c r="AJ68" s="6"/>
    </row>
    <row r="69" customFormat="false" ht="15" hidden="false" customHeight="false" outlineLevel="0" collapsed="false">
      <c r="A69" s="6" t="s">
        <v>699</v>
      </c>
      <c r="B69" s="6" t="s">
        <v>700</v>
      </c>
      <c r="C69" s="6" t="n">
        <v>2026</v>
      </c>
      <c r="D69" s="6" t="s">
        <v>701</v>
      </c>
      <c r="E69" s="6" t="n">
        <v>2</v>
      </c>
      <c r="F69" s="6" t="s">
        <v>702</v>
      </c>
      <c r="G69" s="6" t="s">
        <v>703</v>
      </c>
      <c r="H69" s="6" t="s">
        <v>704</v>
      </c>
      <c r="I69" s="6"/>
      <c r="J69" s="6" t="s">
        <v>705</v>
      </c>
      <c r="K69" s="6" t="s">
        <v>47</v>
      </c>
      <c r="L69" s="6" t="s">
        <v>91</v>
      </c>
      <c r="M69" s="6" t="n">
        <v>2</v>
      </c>
      <c r="N69" s="6" t="s">
        <v>309</v>
      </c>
      <c r="O69" s="6"/>
      <c r="P69" s="6"/>
      <c r="Q69" s="6" t="n">
        <v>1</v>
      </c>
      <c r="R69" s="6"/>
      <c r="S69" s="6"/>
      <c r="T69" s="6"/>
      <c r="U69" s="6" t="n">
        <v>1</v>
      </c>
      <c r="V69" s="6" t="n">
        <v>1</v>
      </c>
      <c r="W69" s="6"/>
      <c r="X69" s="6"/>
      <c r="Y69" s="6"/>
      <c r="Z69" s="6"/>
      <c r="AA69" s="6"/>
      <c r="AB69" s="6"/>
      <c r="AC69" s="6" t="n">
        <v>1</v>
      </c>
      <c r="AD69" s="6"/>
      <c r="AE69" s="6"/>
      <c r="AF69" s="6"/>
      <c r="AG69" s="6"/>
      <c r="AH69" s="6"/>
      <c r="AI69" s="6" t="n">
        <v>1</v>
      </c>
      <c r="AJ69" s="6"/>
    </row>
    <row r="70" customFormat="false" ht="15" hidden="false" customHeight="false" outlineLevel="0" collapsed="false">
      <c r="A70" s="6" t="s">
        <v>706</v>
      </c>
      <c r="B70" s="6" t="s">
        <v>707</v>
      </c>
      <c r="C70" s="6" t="n">
        <v>2017</v>
      </c>
      <c r="D70" s="6" t="s">
        <v>708</v>
      </c>
      <c r="E70" s="6" t="n">
        <v>2</v>
      </c>
      <c r="F70" s="6" t="s">
        <v>709</v>
      </c>
      <c r="G70" s="6" t="s">
        <v>535</v>
      </c>
      <c r="H70" s="6" t="s">
        <v>710</v>
      </c>
      <c r="I70" s="6" t="s">
        <v>307</v>
      </c>
      <c r="J70" s="6" t="s">
        <v>711</v>
      </c>
      <c r="K70" s="6" t="s">
        <v>47</v>
      </c>
      <c r="L70" s="6" t="s">
        <v>72</v>
      </c>
      <c r="M70" s="6" t="n">
        <v>10</v>
      </c>
      <c r="N70" s="6" t="s">
        <v>309</v>
      </c>
      <c r="O70" s="6"/>
      <c r="P70" s="6" t="n">
        <v>1</v>
      </c>
      <c r="Q70" s="6" t="n">
        <v>1</v>
      </c>
      <c r="R70" s="6"/>
      <c r="S70" s="6"/>
      <c r="T70" s="6" t="n">
        <v>1</v>
      </c>
      <c r="U70" s="6" t="n">
        <v>1</v>
      </c>
      <c r="V70" s="6"/>
      <c r="W70" s="6" t="n">
        <v>1</v>
      </c>
      <c r="X70" s="6"/>
      <c r="Y70" s="6" t="n">
        <v>1</v>
      </c>
      <c r="Z70" s="6" t="n">
        <v>1</v>
      </c>
      <c r="AA70" s="6"/>
      <c r="AB70" s="6"/>
      <c r="AC70" s="6"/>
      <c r="AD70" s="6"/>
      <c r="AE70" s="6"/>
      <c r="AF70" s="6"/>
      <c r="AG70" s="6"/>
      <c r="AH70" s="6"/>
      <c r="AI70" s="6"/>
      <c r="AJ70" s="6"/>
    </row>
    <row r="71" customFormat="false" ht="15" hidden="false" customHeight="false" outlineLevel="0" collapsed="false">
      <c r="A71" s="6" t="s">
        <v>712</v>
      </c>
      <c r="B71" s="6" t="s">
        <v>713</v>
      </c>
      <c r="C71" s="6" t="n">
        <v>2022</v>
      </c>
      <c r="D71" s="6" t="s">
        <v>714</v>
      </c>
      <c r="E71" s="6" t="n">
        <v>2</v>
      </c>
      <c r="F71" s="6" t="s">
        <v>715</v>
      </c>
      <c r="G71" s="6" t="s">
        <v>716</v>
      </c>
      <c r="H71" s="6" t="s">
        <v>361</v>
      </c>
      <c r="I71" s="6" t="s">
        <v>353</v>
      </c>
      <c r="J71" s="6" t="s">
        <v>717</v>
      </c>
      <c r="K71" s="6" t="s">
        <v>47</v>
      </c>
      <c r="L71" s="6" t="s">
        <v>89</v>
      </c>
      <c r="M71" s="6" t="n">
        <v>3</v>
      </c>
      <c r="N71" s="6" t="s">
        <v>300</v>
      </c>
      <c r="O71" s="6"/>
      <c r="P71" s="6"/>
      <c r="Q71" s="6"/>
      <c r="R71" s="6" t="n">
        <v>1</v>
      </c>
      <c r="S71" s="6"/>
      <c r="T71" s="6"/>
      <c r="U71" s="6"/>
      <c r="V71" s="6"/>
      <c r="W71" s="6"/>
      <c r="X71" s="6"/>
      <c r="Y71" s="6"/>
      <c r="Z71" s="6"/>
      <c r="AA71" s="6"/>
      <c r="AB71" s="6"/>
      <c r="AC71" s="6"/>
      <c r="AD71" s="6"/>
      <c r="AE71" s="6"/>
      <c r="AF71" s="6"/>
      <c r="AG71" s="6"/>
      <c r="AH71" s="6"/>
      <c r="AI71" s="6" t="n">
        <v>1</v>
      </c>
      <c r="AJ71" s="6"/>
    </row>
    <row r="72" customFormat="false" ht="15" hidden="false" customHeight="false" outlineLevel="0" collapsed="false">
      <c r="A72" s="6" t="s">
        <v>718</v>
      </c>
      <c r="B72" s="6" t="s">
        <v>719</v>
      </c>
      <c r="C72" s="6" t="n">
        <v>2026</v>
      </c>
      <c r="D72" s="6" t="s">
        <v>720</v>
      </c>
      <c r="E72" s="6" t="n">
        <v>4</v>
      </c>
      <c r="F72" s="6" t="s">
        <v>721</v>
      </c>
      <c r="G72" s="6" t="s">
        <v>247</v>
      </c>
      <c r="H72" s="6" t="s">
        <v>722</v>
      </c>
      <c r="I72" s="6"/>
      <c r="J72" s="6" t="s">
        <v>723</v>
      </c>
      <c r="K72" s="6" t="s">
        <v>47</v>
      </c>
      <c r="L72" s="6" t="s">
        <v>72</v>
      </c>
      <c r="M72" s="6" t="n">
        <v>4</v>
      </c>
      <c r="N72" s="6" t="s">
        <v>309</v>
      </c>
      <c r="O72" s="6"/>
      <c r="P72" s="6"/>
      <c r="Q72" s="6"/>
      <c r="R72" s="6" t="n">
        <v>1</v>
      </c>
      <c r="S72" s="6"/>
      <c r="T72" s="6"/>
      <c r="U72" s="6" t="n">
        <v>1</v>
      </c>
      <c r="V72" s="6"/>
      <c r="W72" s="6"/>
      <c r="X72" s="6"/>
      <c r="Y72" s="6"/>
      <c r="Z72" s="6"/>
      <c r="AA72" s="6"/>
      <c r="AB72" s="6"/>
      <c r="AC72" s="6"/>
      <c r="AD72" s="6"/>
      <c r="AE72" s="6" t="n">
        <v>1</v>
      </c>
      <c r="AF72" s="6" t="n">
        <v>1</v>
      </c>
      <c r="AG72" s="6"/>
      <c r="AH72" s="6"/>
      <c r="AI72" s="6"/>
      <c r="AJ72" s="6"/>
    </row>
    <row r="73" customFormat="false" ht="15" hidden="false" customHeight="false" outlineLevel="0" collapsed="false">
      <c r="A73" s="6" t="s">
        <v>724</v>
      </c>
      <c r="B73" s="6" t="s">
        <v>725</v>
      </c>
      <c r="C73" s="6" t="n">
        <v>2026</v>
      </c>
      <c r="D73" s="6" t="s">
        <v>726</v>
      </c>
      <c r="E73" s="6" t="n">
        <v>2</v>
      </c>
      <c r="F73" s="6" t="s">
        <v>727</v>
      </c>
      <c r="G73" s="6" t="s">
        <v>728</v>
      </c>
      <c r="H73" s="6" t="s">
        <v>710</v>
      </c>
      <c r="I73" s="6" t="s">
        <v>316</v>
      </c>
      <c r="J73" s="6" t="s">
        <v>729</v>
      </c>
      <c r="K73" s="6" t="s">
        <v>47</v>
      </c>
      <c r="L73" s="6" t="s">
        <v>91</v>
      </c>
      <c r="M73" s="6" t="n">
        <v>0</v>
      </c>
      <c r="N73" s="6" t="s">
        <v>309</v>
      </c>
      <c r="O73" s="6" t="n">
        <v>1</v>
      </c>
      <c r="P73" s="6"/>
      <c r="Q73" s="6"/>
      <c r="R73" s="6"/>
      <c r="S73" s="6"/>
      <c r="T73" s="6"/>
      <c r="U73" s="6" t="n">
        <v>1</v>
      </c>
      <c r="V73" s="6"/>
      <c r="W73" s="6" t="n">
        <v>1</v>
      </c>
      <c r="X73" s="6"/>
      <c r="Y73" s="6"/>
      <c r="Z73" s="6" t="n">
        <v>1</v>
      </c>
      <c r="AA73" s="6" t="n">
        <v>1</v>
      </c>
      <c r="AB73" s="6"/>
      <c r="AC73" s="6"/>
      <c r="AD73" s="6"/>
      <c r="AE73" s="6"/>
      <c r="AF73" s="6"/>
      <c r="AG73" s="6"/>
      <c r="AH73" s="6"/>
      <c r="AI73" s="6"/>
      <c r="AJ73" s="6"/>
    </row>
    <row r="74" customFormat="false" ht="15" hidden="false" customHeight="false" outlineLevel="0" collapsed="false">
      <c r="A74" s="6" t="s">
        <v>730</v>
      </c>
      <c r="B74" s="6" t="s">
        <v>731</v>
      </c>
      <c r="C74" s="6" t="n">
        <v>2023</v>
      </c>
      <c r="D74" s="6" t="s">
        <v>732</v>
      </c>
      <c r="E74" s="6" t="n">
        <v>3</v>
      </c>
      <c r="F74" s="6" t="s">
        <v>733</v>
      </c>
      <c r="G74" s="6" t="s">
        <v>734</v>
      </c>
      <c r="H74" s="6" t="s">
        <v>735</v>
      </c>
      <c r="I74" s="6" t="s">
        <v>316</v>
      </c>
      <c r="J74" s="6" t="s">
        <v>736</v>
      </c>
      <c r="K74" s="6" t="s">
        <v>47</v>
      </c>
      <c r="L74" s="6" t="s">
        <v>74</v>
      </c>
      <c r="M74" s="6" t="n">
        <v>31</v>
      </c>
      <c r="N74" s="6" t="s">
        <v>309</v>
      </c>
      <c r="O74" s="6"/>
      <c r="P74" s="6"/>
      <c r="Q74" s="6"/>
      <c r="R74" s="6"/>
      <c r="S74" s="6"/>
      <c r="T74" s="6"/>
      <c r="U74" s="6"/>
      <c r="V74" s="6"/>
      <c r="W74" s="6"/>
      <c r="X74" s="6"/>
      <c r="Y74" s="6" t="n">
        <v>1</v>
      </c>
      <c r="Z74" s="6"/>
      <c r="AA74" s="6"/>
      <c r="AB74" s="6"/>
      <c r="AC74" s="6"/>
      <c r="AD74" s="6"/>
      <c r="AE74" s="6"/>
      <c r="AF74" s="6"/>
      <c r="AG74" s="6"/>
      <c r="AH74" s="6"/>
      <c r="AI74" s="6"/>
      <c r="AJ74" s="6"/>
    </row>
    <row r="75" customFormat="false" ht="15" hidden="false" customHeight="false" outlineLevel="0" collapsed="false">
      <c r="A75" s="6" t="s">
        <v>737</v>
      </c>
      <c r="B75" s="6" t="s">
        <v>738</v>
      </c>
      <c r="C75" s="6" t="n">
        <v>2019</v>
      </c>
      <c r="D75" s="6" t="s">
        <v>739</v>
      </c>
      <c r="E75" s="6" t="n">
        <v>2</v>
      </c>
      <c r="F75" s="6" t="s">
        <v>740</v>
      </c>
      <c r="G75" s="6" t="s">
        <v>741</v>
      </c>
      <c r="H75" s="6" t="s">
        <v>742</v>
      </c>
      <c r="I75" s="6" t="s">
        <v>743</v>
      </c>
      <c r="J75" s="6" t="s">
        <v>744</v>
      </c>
      <c r="K75" s="6" t="s">
        <v>47</v>
      </c>
      <c r="L75" s="6" t="s">
        <v>72</v>
      </c>
      <c r="M75" s="6" t="n">
        <v>28</v>
      </c>
      <c r="N75" s="6" t="s">
        <v>309</v>
      </c>
      <c r="O75" s="6"/>
      <c r="P75" s="6" t="n">
        <v>1</v>
      </c>
      <c r="Q75" s="6"/>
      <c r="R75" s="6"/>
      <c r="S75" s="6"/>
      <c r="T75" s="6" t="n">
        <v>1</v>
      </c>
      <c r="U75" s="6" t="n">
        <v>1</v>
      </c>
      <c r="V75" s="6"/>
      <c r="W75" s="6"/>
      <c r="X75" s="6"/>
      <c r="Y75" s="6"/>
      <c r="Z75" s="6"/>
      <c r="AA75" s="6" t="n">
        <v>1</v>
      </c>
      <c r="AB75" s="6"/>
      <c r="AC75" s="6"/>
      <c r="AD75" s="6"/>
      <c r="AE75" s="6"/>
      <c r="AF75" s="6"/>
      <c r="AG75" s="6"/>
      <c r="AH75" s="6"/>
      <c r="AI75" s="6"/>
      <c r="AJ75" s="6"/>
    </row>
    <row r="76" customFormat="false" ht="15" hidden="false" customHeight="false" outlineLevel="0" collapsed="false">
      <c r="A76" s="6" t="s">
        <v>745</v>
      </c>
      <c r="B76" s="6" t="s">
        <v>746</v>
      </c>
      <c r="C76" s="6" t="n">
        <v>2026</v>
      </c>
      <c r="D76" s="6" t="s">
        <v>747</v>
      </c>
      <c r="E76" s="6" t="n">
        <v>2</v>
      </c>
      <c r="F76" s="6" t="s">
        <v>748</v>
      </c>
      <c r="G76" s="6" t="s">
        <v>749</v>
      </c>
      <c r="H76" s="6" t="s">
        <v>750</v>
      </c>
      <c r="I76" s="6" t="s">
        <v>324</v>
      </c>
      <c r="J76" s="6" t="s">
        <v>751</v>
      </c>
      <c r="K76" s="6" t="s">
        <v>47</v>
      </c>
      <c r="L76" s="6" t="s">
        <v>84</v>
      </c>
      <c r="M76" s="6" t="n">
        <v>0</v>
      </c>
      <c r="N76" s="6" t="s">
        <v>300</v>
      </c>
      <c r="O76" s="6"/>
      <c r="P76" s="6"/>
      <c r="Q76" s="6" t="n">
        <v>1</v>
      </c>
      <c r="R76" s="6"/>
      <c r="S76" s="6"/>
      <c r="T76" s="6"/>
      <c r="U76" s="6" t="n">
        <v>1</v>
      </c>
      <c r="V76" s="6" t="n">
        <v>1</v>
      </c>
      <c r="W76" s="6"/>
      <c r="X76" s="6"/>
      <c r="Y76" s="6"/>
      <c r="Z76" s="6"/>
      <c r="AA76" s="6"/>
      <c r="AB76" s="6"/>
      <c r="AC76" s="6"/>
      <c r="AD76" s="6" t="n">
        <v>1</v>
      </c>
      <c r="AE76" s="6"/>
      <c r="AF76" s="6"/>
      <c r="AG76" s="6"/>
      <c r="AH76" s="6"/>
      <c r="AI76" s="6"/>
      <c r="AJ76" s="6"/>
    </row>
    <row r="77" customFormat="false" ht="15" hidden="false" customHeight="false" outlineLevel="0" collapsed="false">
      <c r="A77" s="6" t="s">
        <v>752</v>
      </c>
      <c r="B77" s="6" t="s">
        <v>753</v>
      </c>
      <c r="C77" s="6" t="n">
        <v>2021</v>
      </c>
      <c r="D77" s="6" t="s">
        <v>754</v>
      </c>
      <c r="E77" s="6" t="n">
        <v>3</v>
      </c>
      <c r="F77" s="6" t="s">
        <v>755</v>
      </c>
      <c r="G77" s="6" t="s">
        <v>314</v>
      </c>
      <c r="H77" s="6" t="s">
        <v>315</v>
      </c>
      <c r="I77" s="6" t="s">
        <v>316</v>
      </c>
      <c r="J77" s="6" t="s">
        <v>756</v>
      </c>
      <c r="K77" s="6" t="s">
        <v>47</v>
      </c>
      <c r="L77" s="6" t="s">
        <v>72</v>
      </c>
      <c r="M77" s="6" t="n">
        <v>10</v>
      </c>
      <c r="N77" s="6" t="s">
        <v>309</v>
      </c>
      <c r="O77" s="6"/>
      <c r="P77" s="6"/>
      <c r="Q77" s="6"/>
      <c r="R77" s="6"/>
      <c r="S77" s="6"/>
      <c r="T77" s="6"/>
      <c r="U77" s="6"/>
      <c r="V77" s="6"/>
      <c r="W77" s="6"/>
      <c r="X77" s="6"/>
      <c r="Y77" s="6"/>
      <c r="Z77" s="6"/>
      <c r="AA77" s="6" t="n">
        <v>1</v>
      </c>
      <c r="AB77" s="6"/>
      <c r="AC77" s="6"/>
      <c r="AD77" s="6"/>
      <c r="AE77" s="6"/>
      <c r="AF77" s="6"/>
      <c r="AG77" s="6"/>
      <c r="AH77" s="6"/>
      <c r="AI77" s="6"/>
      <c r="AJ77" s="6"/>
    </row>
    <row r="78" customFormat="false" ht="15" hidden="false" customHeight="false" outlineLevel="0" collapsed="false">
      <c r="A78" s="6" t="s">
        <v>757</v>
      </c>
      <c r="B78" s="6" t="s">
        <v>758</v>
      </c>
      <c r="C78" s="6" t="n">
        <v>2026</v>
      </c>
      <c r="D78" s="6" t="s">
        <v>759</v>
      </c>
      <c r="E78" s="6" t="n">
        <v>2</v>
      </c>
      <c r="F78" s="6" t="s">
        <v>760</v>
      </c>
      <c r="G78" s="6" t="s">
        <v>247</v>
      </c>
      <c r="H78" s="6" t="s">
        <v>761</v>
      </c>
      <c r="I78" s="6"/>
      <c r="J78" s="6" t="s">
        <v>762</v>
      </c>
      <c r="K78" s="6" t="s">
        <v>47</v>
      </c>
      <c r="L78" s="6" t="s">
        <v>76</v>
      </c>
      <c r="M78" s="6" t="n">
        <v>18</v>
      </c>
      <c r="N78" s="6" t="s">
        <v>300</v>
      </c>
      <c r="O78" s="6"/>
      <c r="P78" s="6" t="n">
        <v>1</v>
      </c>
      <c r="Q78" s="6"/>
      <c r="R78" s="6"/>
      <c r="S78" s="6"/>
      <c r="T78" s="6"/>
      <c r="U78" s="6" t="n">
        <v>1</v>
      </c>
      <c r="V78" s="6"/>
      <c r="W78" s="6"/>
      <c r="X78" s="6"/>
      <c r="Y78" s="6" t="n">
        <v>1</v>
      </c>
      <c r="Z78" s="6"/>
      <c r="AA78" s="6"/>
      <c r="AB78" s="6"/>
      <c r="AC78" s="6" t="n">
        <v>1</v>
      </c>
      <c r="AD78" s="6"/>
      <c r="AE78" s="6" t="n">
        <v>1</v>
      </c>
      <c r="AF78" s="6" t="n">
        <v>1</v>
      </c>
      <c r="AG78" s="6"/>
      <c r="AH78" s="6"/>
      <c r="AI78" s="6"/>
      <c r="AJ78" s="6"/>
    </row>
    <row r="79" customFormat="false" ht="15" hidden="false" customHeight="false" outlineLevel="0" collapsed="false">
      <c r="A79" s="6" t="s">
        <v>763</v>
      </c>
      <c r="B79" s="6" t="s">
        <v>764</v>
      </c>
      <c r="C79" s="6" t="n">
        <v>2025</v>
      </c>
      <c r="D79" s="6" t="s">
        <v>765</v>
      </c>
      <c r="E79" s="6" t="n">
        <v>1</v>
      </c>
      <c r="F79" s="6" t="s">
        <v>766</v>
      </c>
      <c r="G79" s="6" t="s">
        <v>767</v>
      </c>
      <c r="H79" s="6" t="s">
        <v>496</v>
      </c>
      <c r="I79" s="6" t="s">
        <v>415</v>
      </c>
      <c r="J79" s="6" t="s">
        <v>768</v>
      </c>
      <c r="K79" s="6" t="s">
        <v>47</v>
      </c>
      <c r="L79" s="6" t="s">
        <v>80</v>
      </c>
      <c r="M79" s="6" t="n">
        <v>38</v>
      </c>
      <c r="N79" s="6" t="s">
        <v>309</v>
      </c>
      <c r="O79" s="6"/>
      <c r="P79" s="6"/>
      <c r="Q79" s="6" t="n">
        <v>1</v>
      </c>
      <c r="R79" s="6"/>
      <c r="S79" s="6"/>
      <c r="T79" s="6"/>
      <c r="U79" s="6" t="n">
        <v>1</v>
      </c>
      <c r="V79" s="6"/>
      <c r="W79" s="6"/>
      <c r="X79" s="6"/>
      <c r="Y79" s="6"/>
      <c r="Z79" s="6"/>
      <c r="AA79" s="6"/>
      <c r="AB79" s="6"/>
      <c r="AC79" s="6"/>
      <c r="AD79" s="6"/>
      <c r="AE79" s="6"/>
      <c r="AF79" s="6"/>
      <c r="AG79" s="6"/>
      <c r="AH79" s="6"/>
      <c r="AI79" s="6" t="n">
        <v>1</v>
      </c>
      <c r="AJ79" s="6"/>
    </row>
    <row r="80" customFormat="false" ht="15" hidden="false" customHeight="false" outlineLevel="0" collapsed="false">
      <c r="A80" s="6" t="s">
        <v>769</v>
      </c>
      <c r="B80" s="6" t="s">
        <v>770</v>
      </c>
      <c r="C80" s="6" t="n">
        <v>2024</v>
      </c>
      <c r="D80" s="6" t="s">
        <v>771</v>
      </c>
      <c r="E80" s="6" t="n">
        <v>3</v>
      </c>
      <c r="F80" s="6" t="s">
        <v>772</v>
      </c>
      <c r="G80" s="6" t="s">
        <v>773</v>
      </c>
      <c r="H80" s="6" t="s">
        <v>315</v>
      </c>
      <c r="I80" s="6" t="s">
        <v>307</v>
      </c>
      <c r="J80" s="6" t="s">
        <v>774</v>
      </c>
      <c r="K80" s="6" t="s">
        <v>47</v>
      </c>
      <c r="L80" s="6" t="s">
        <v>107</v>
      </c>
      <c r="M80" s="6" t="n">
        <v>15</v>
      </c>
      <c r="N80" s="6" t="s">
        <v>300</v>
      </c>
      <c r="O80" s="6" t="n">
        <v>1</v>
      </c>
      <c r="P80" s="6"/>
      <c r="Q80" s="6"/>
      <c r="R80" s="6" t="n">
        <v>1</v>
      </c>
      <c r="S80" s="6" t="n">
        <v>1</v>
      </c>
      <c r="T80" s="6" t="n">
        <v>1</v>
      </c>
      <c r="U80" s="6"/>
      <c r="V80" s="6" t="n">
        <v>1</v>
      </c>
      <c r="W80" s="6"/>
      <c r="X80" s="6"/>
      <c r="Y80" s="6"/>
      <c r="Z80" s="6"/>
      <c r="AA80" s="6"/>
      <c r="AB80" s="6"/>
      <c r="AC80" s="6"/>
      <c r="AD80" s="6"/>
      <c r="AE80" s="6"/>
      <c r="AF80" s="6"/>
      <c r="AG80" s="6"/>
      <c r="AH80" s="6"/>
      <c r="AI80" s="6"/>
      <c r="AJ80" s="6"/>
    </row>
    <row r="81" customFormat="false" ht="15" hidden="false" customHeight="false" outlineLevel="0" collapsed="false">
      <c r="A81" s="6" t="s">
        <v>775</v>
      </c>
      <c r="B81" s="6" t="s">
        <v>776</v>
      </c>
      <c r="C81" s="6" t="n">
        <v>2016</v>
      </c>
      <c r="D81" s="6" t="s">
        <v>777</v>
      </c>
      <c r="E81" s="6" t="n">
        <v>1</v>
      </c>
      <c r="F81" s="6" t="s">
        <v>778</v>
      </c>
      <c r="G81" s="6" t="s">
        <v>779</v>
      </c>
      <c r="H81" s="6" t="s">
        <v>422</v>
      </c>
      <c r="I81" s="6" t="s">
        <v>361</v>
      </c>
      <c r="J81" s="6" t="s">
        <v>780</v>
      </c>
      <c r="K81" s="6" t="s">
        <v>47</v>
      </c>
      <c r="L81" s="6" t="s">
        <v>72</v>
      </c>
      <c r="M81" s="6" t="n">
        <v>12</v>
      </c>
      <c r="N81" s="6" t="s">
        <v>309</v>
      </c>
      <c r="O81" s="6"/>
      <c r="P81" s="6"/>
      <c r="Q81" s="6" t="n">
        <v>1</v>
      </c>
      <c r="R81" s="6" t="n">
        <v>1</v>
      </c>
      <c r="S81" s="6"/>
      <c r="T81" s="6"/>
      <c r="U81" s="6"/>
      <c r="V81" s="6"/>
      <c r="W81" s="6"/>
      <c r="X81" s="6"/>
      <c r="Y81" s="6"/>
      <c r="Z81" s="6"/>
      <c r="AA81" s="6"/>
      <c r="AB81" s="6"/>
      <c r="AC81" s="6"/>
      <c r="AD81" s="6"/>
      <c r="AE81" s="6"/>
      <c r="AF81" s="6"/>
      <c r="AG81" s="6"/>
      <c r="AH81" s="6"/>
      <c r="AI81" s="6"/>
      <c r="AJ81" s="6"/>
    </row>
    <row r="82" customFormat="false" ht="15" hidden="false" customHeight="false" outlineLevel="0" collapsed="false">
      <c r="A82" s="6" t="s">
        <v>781</v>
      </c>
      <c r="B82" s="6" t="s">
        <v>782</v>
      </c>
      <c r="C82" s="6" t="n">
        <v>2024</v>
      </c>
      <c r="D82" s="6" t="s">
        <v>783</v>
      </c>
      <c r="E82" s="6" t="n">
        <v>5</v>
      </c>
      <c r="F82" s="6" t="s">
        <v>784</v>
      </c>
      <c r="G82" s="6" t="s">
        <v>785</v>
      </c>
      <c r="H82" s="6" t="s">
        <v>353</v>
      </c>
      <c r="I82" s="6"/>
      <c r="J82" s="6" t="s">
        <v>786</v>
      </c>
      <c r="K82" s="6" t="s">
        <v>48</v>
      </c>
      <c r="L82" s="6" t="s">
        <v>74</v>
      </c>
      <c r="M82" s="6" t="n">
        <v>1</v>
      </c>
      <c r="N82" s="6" t="s">
        <v>300</v>
      </c>
      <c r="O82" s="6"/>
      <c r="P82" s="6"/>
      <c r="Q82" s="6"/>
      <c r="R82" s="6" t="n">
        <v>1</v>
      </c>
      <c r="S82" s="6"/>
      <c r="T82" s="6" t="n">
        <v>1</v>
      </c>
      <c r="U82" s="6" t="n">
        <v>1</v>
      </c>
      <c r="V82" s="6"/>
      <c r="W82" s="6"/>
      <c r="X82" s="6" t="n">
        <v>1</v>
      </c>
      <c r="Y82" s="6"/>
      <c r="Z82" s="6"/>
      <c r="AA82" s="6"/>
      <c r="AB82" s="6"/>
      <c r="AC82" s="6" t="n">
        <v>1</v>
      </c>
      <c r="AD82" s="6"/>
      <c r="AE82" s="6"/>
      <c r="AF82" s="6"/>
      <c r="AG82" s="6"/>
      <c r="AH82" s="6"/>
      <c r="AI82" s="6"/>
      <c r="AJ82" s="6"/>
    </row>
    <row r="83" customFormat="false" ht="15" hidden="false" customHeight="false" outlineLevel="0" collapsed="false">
      <c r="A83" s="6" t="s">
        <v>787</v>
      </c>
      <c r="B83" s="6" t="s">
        <v>788</v>
      </c>
      <c r="C83" s="6" t="n">
        <v>2021</v>
      </c>
      <c r="D83" s="6" t="s">
        <v>789</v>
      </c>
      <c r="E83" s="6" t="n">
        <v>2</v>
      </c>
      <c r="F83" s="6" t="s">
        <v>790</v>
      </c>
      <c r="G83" s="6" t="s">
        <v>387</v>
      </c>
      <c r="H83" s="6" t="s">
        <v>604</v>
      </c>
      <c r="I83" s="6"/>
      <c r="J83" s="6" t="s">
        <v>791</v>
      </c>
      <c r="K83" s="6" t="s">
        <v>47</v>
      </c>
      <c r="L83" s="6" t="s">
        <v>72</v>
      </c>
      <c r="M83" s="6" t="n">
        <v>8</v>
      </c>
      <c r="N83" s="6" t="s">
        <v>309</v>
      </c>
      <c r="O83" s="6"/>
      <c r="P83" s="6"/>
      <c r="Q83" s="6"/>
      <c r="R83" s="6"/>
      <c r="S83" s="6"/>
      <c r="T83" s="6"/>
      <c r="U83" s="6"/>
      <c r="V83" s="6" t="n">
        <v>1</v>
      </c>
      <c r="W83" s="6"/>
      <c r="X83" s="6"/>
      <c r="Y83" s="6"/>
      <c r="Z83" s="6"/>
      <c r="AA83" s="6"/>
      <c r="AB83" s="6"/>
      <c r="AC83" s="6"/>
      <c r="AD83" s="6"/>
      <c r="AE83" s="6"/>
      <c r="AF83" s="6"/>
      <c r="AG83" s="6"/>
      <c r="AH83" s="6"/>
      <c r="AI83" s="6"/>
      <c r="AJ83" s="6"/>
    </row>
    <row r="84" customFormat="false" ht="15" hidden="false" customHeight="false" outlineLevel="0" collapsed="false">
      <c r="A84" s="6" t="s">
        <v>792</v>
      </c>
      <c r="B84" s="6" t="s">
        <v>793</v>
      </c>
      <c r="C84" s="6" t="n">
        <v>2025</v>
      </c>
      <c r="D84" s="6" t="s">
        <v>794</v>
      </c>
      <c r="E84" s="6" t="n">
        <v>1</v>
      </c>
      <c r="F84" s="6" t="s">
        <v>795</v>
      </c>
      <c r="G84" s="6" t="s">
        <v>796</v>
      </c>
      <c r="H84" s="6" t="s">
        <v>455</v>
      </c>
      <c r="I84" s="6" t="s">
        <v>628</v>
      </c>
      <c r="J84" s="6" t="s">
        <v>797</v>
      </c>
      <c r="K84" s="6" t="s">
        <v>47</v>
      </c>
      <c r="L84" s="6" t="s">
        <v>74</v>
      </c>
      <c r="M84" s="6" t="n">
        <v>3</v>
      </c>
      <c r="N84" s="6" t="s">
        <v>300</v>
      </c>
      <c r="O84" s="6"/>
      <c r="P84" s="6" t="n">
        <v>1</v>
      </c>
      <c r="Q84" s="6" t="n">
        <v>1</v>
      </c>
      <c r="R84" s="6"/>
      <c r="S84" s="6"/>
      <c r="T84" s="6"/>
      <c r="U84" s="6"/>
      <c r="V84" s="6"/>
      <c r="W84" s="6"/>
      <c r="X84" s="6"/>
      <c r="Y84" s="6"/>
      <c r="Z84" s="6"/>
      <c r="AA84" s="6"/>
      <c r="AB84" s="6" t="n">
        <v>1</v>
      </c>
      <c r="AC84" s="6" t="n">
        <v>1</v>
      </c>
      <c r="AD84" s="6"/>
      <c r="AE84" s="6"/>
      <c r="AF84" s="6"/>
      <c r="AG84" s="6"/>
      <c r="AH84" s="6"/>
      <c r="AI84" s="6"/>
      <c r="AJ84" s="6"/>
    </row>
    <row r="85" customFormat="false" ht="15" hidden="false" customHeight="false" outlineLevel="0" collapsed="false">
      <c r="A85" s="6" t="s">
        <v>798</v>
      </c>
      <c r="B85" s="6" t="s">
        <v>799</v>
      </c>
      <c r="C85" s="6" t="n">
        <v>2026</v>
      </c>
      <c r="D85" s="6" t="s">
        <v>800</v>
      </c>
      <c r="E85" s="6" t="n">
        <v>4</v>
      </c>
      <c r="F85" s="6" t="s">
        <v>801</v>
      </c>
      <c r="G85" s="6" t="s">
        <v>367</v>
      </c>
      <c r="H85" s="6" t="s">
        <v>495</v>
      </c>
      <c r="I85" s="6" t="s">
        <v>802</v>
      </c>
      <c r="J85" s="6"/>
      <c r="K85" s="6" t="s">
        <v>48</v>
      </c>
      <c r="L85" s="6" t="s">
        <v>97</v>
      </c>
      <c r="M85" s="6" t="n">
        <v>0</v>
      </c>
      <c r="N85" s="6" t="s">
        <v>300</v>
      </c>
      <c r="O85" s="6"/>
      <c r="P85" s="6"/>
      <c r="Q85" s="6" t="n">
        <v>1</v>
      </c>
      <c r="R85" s="6"/>
      <c r="S85" s="6"/>
      <c r="T85" s="6" t="n">
        <v>1</v>
      </c>
      <c r="U85" s="6"/>
      <c r="V85" s="6" t="n">
        <v>1</v>
      </c>
      <c r="W85" s="6"/>
      <c r="X85" s="6"/>
      <c r="Y85" s="6"/>
      <c r="Z85" s="6"/>
      <c r="AA85" s="6"/>
      <c r="AB85" s="6" t="n">
        <v>1</v>
      </c>
      <c r="AC85" s="6" t="n">
        <v>1</v>
      </c>
      <c r="AD85" s="6"/>
      <c r="AE85" s="6"/>
      <c r="AF85" s="6"/>
      <c r="AG85" s="6"/>
      <c r="AH85" s="6"/>
      <c r="AI85" s="6"/>
      <c r="AJ85" s="6"/>
    </row>
    <row r="86" customFormat="false" ht="15" hidden="false" customHeight="false" outlineLevel="0" collapsed="false">
      <c r="A86" s="6" t="s">
        <v>803</v>
      </c>
      <c r="B86" s="6" t="s">
        <v>804</v>
      </c>
      <c r="C86" s="6" t="n">
        <v>2025</v>
      </c>
      <c r="D86" s="6" t="s">
        <v>805</v>
      </c>
      <c r="E86" s="6" t="n">
        <v>2</v>
      </c>
      <c r="F86" s="6" t="s">
        <v>806</v>
      </c>
      <c r="G86" s="6" t="s">
        <v>807</v>
      </c>
      <c r="H86" s="6" t="s">
        <v>808</v>
      </c>
      <c r="I86" s="6" t="s">
        <v>324</v>
      </c>
      <c r="J86" s="6" t="s">
        <v>809</v>
      </c>
      <c r="K86" s="6" t="s">
        <v>47</v>
      </c>
      <c r="L86" s="6" t="s">
        <v>102</v>
      </c>
      <c r="M86" s="6" t="n">
        <v>3</v>
      </c>
      <c r="N86" s="6" t="s">
        <v>300</v>
      </c>
      <c r="O86" s="6"/>
      <c r="P86" s="6"/>
      <c r="Q86" s="6" t="n">
        <v>1</v>
      </c>
      <c r="R86" s="6" t="n">
        <v>1</v>
      </c>
      <c r="S86" s="6"/>
      <c r="T86" s="6"/>
      <c r="U86" s="6"/>
      <c r="V86" s="6"/>
      <c r="W86" s="6"/>
      <c r="X86" s="6"/>
      <c r="Y86" s="6" t="n">
        <v>1</v>
      </c>
      <c r="Z86" s="6"/>
      <c r="AA86" s="6"/>
      <c r="AB86" s="6"/>
      <c r="AC86" s="6"/>
      <c r="AD86" s="6"/>
      <c r="AE86" s="6"/>
      <c r="AF86" s="6"/>
      <c r="AG86" s="6"/>
      <c r="AH86" s="6"/>
      <c r="AI86" s="6" t="n">
        <v>1</v>
      </c>
      <c r="AJ86" s="6"/>
    </row>
    <row r="87" customFormat="false" ht="15" hidden="false" customHeight="false" outlineLevel="0" collapsed="false">
      <c r="A87" s="6" t="s">
        <v>810</v>
      </c>
      <c r="B87" s="6" t="s">
        <v>811</v>
      </c>
      <c r="C87" s="6" t="n">
        <v>2024</v>
      </c>
      <c r="D87" s="6" t="s">
        <v>812</v>
      </c>
      <c r="E87" s="6" t="n">
        <v>1</v>
      </c>
      <c r="F87" s="6" t="s">
        <v>813</v>
      </c>
      <c r="G87" s="6" t="s">
        <v>814</v>
      </c>
      <c r="H87" s="6" t="s">
        <v>338</v>
      </c>
      <c r="I87" s="6" t="s">
        <v>361</v>
      </c>
      <c r="J87" s="6" t="s">
        <v>815</v>
      </c>
      <c r="K87" s="6" t="s">
        <v>47</v>
      </c>
      <c r="L87" s="6" t="s">
        <v>106</v>
      </c>
      <c r="M87" s="6" t="n">
        <v>1</v>
      </c>
      <c r="N87" s="6" t="s">
        <v>300</v>
      </c>
      <c r="O87" s="6"/>
      <c r="P87" s="6"/>
      <c r="Q87" s="6" t="n">
        <v>1</v>
      </c>
      <c r="R87" s="6"/>
      <c r="S87" s="6"/>
      <c r="T87" s="6"/>
      <c r="U87" s="6"/>
      <c r="V87" s="6" t="n">
        <v>1</v>
      </c>
      <c r="W87" s="6"/>
      <c r="X87" s="6"/>
      <c r="Y87" s="6"/>
      <c r="Z87" s="6"/>
      <c r="AA87" s="6" t="n">
        <v>1</v>
      </c>
      <c r="AB87" s="6" t="n">
        <v>1</v>
      </c>
      <c r="AC87" s="6"/>
      <c r="AD87" s="6"/>
      <c r="AE87" s="6"/>
      <c r="AF87" s="6"/>
      <c r="AG87" s="6"/>
      <c r="AH87" s="6"/>
      <c r="AI87" s="6" t="n">
        <v>1</v>
      </c>
      <c r="AJ87" s="6"/>
    </row>
    <row r="88" customFormat="false" ht="15" hidden="false" customHeight="false" outlineLevel="0" collapsed="false">
      <c r="A88" s="6" t="s">
        <v>816</v>
      </c>
      <c r="B88" s="6" t="s">
        <v>817</v>
      </c>
      <c r="C88" s="6" t="n">
        <v>2023</v>
      </c>
      <c r="D88" s="6" t="s">
        <v>818</v>
      </c>
      <c r="E88" s="6" t="n">
        <v>8</v>
      </c>
      <c r="F88" s="6" t="s">
        <v>819</v>
      </c>
      <c r="G88" s="6" t="s">
        <v>820</v>
      </c>
      <c r="H88" s="6" t="s">
        <v>821</v>
      </c>
      <c r="I88" s="6" t="s">
        <v>353</v>
      </c>
      <c r="J88" s="6" t="s">
        <v>822</v>
      </c>
      <c r="K88" s="6" t="s">
        <v>47</v>
      </c>
      <c r="L88" s="6" t="s">
        <v>109</v>
      </c>
      <c r="M88" s="6" t="n">
        <v>1</v>
      </c>
      <c r="N88" s="6" t="s">
        <v>309</v>
      </c>
      <c r="O88" s="6"/>
      <c r="P88" s="6"/>
      <c r="Q88" s="6"/>
      <c r="R88" s="6"/>
      <c r="S88" s="6"/>
      <c r="T88" s="6"/>
      <c r="U88" s="6" t="n">
        <v>1</v>
      </c>
      <c r="V88" s="6"/>
      <c r="W88" s="6" t="n">
        <v>1</v>
      </c>
      <c r="X88" s="6"/>
      <c r="Y88" s="6"/>
      <c r="Z88" s="6"/>
      <c r="AA88" s="6" t="n">
        <v>1</v>
      </c>
      <c r="AB88" s="6"/>
      <c r="AC88" s="6"/>
      <c r="AD88" s="6"/>
      <c r="AE88" s="6"/>
      <c r="AF88" s="6" t="n">
        <v>1</v>
      </c>
      <c r="AG88" s="6"/>
      <c r="AH88" s="6"/>
      <c r="AI88" s="6"/>
      <c r="AJ88" s="6"/>
    </row>
    <row r="89" customFormat="false" ht="15" hidden="false" customHeight="false" outlineLevel="0" collapsed="false">
      <c r="A89" s="6" t="s">
        <v>823</v>
      </c>
      <c r="B89" s="6" t="s">
        <v>824</v>
      </c>
      <c r="C89" s="6" t="n">
        <v>2019</v>
      </c>
      <c r="D89" s="6" t="s">
        <v>825</v>
      </c>
      <c r="E89" s="6" t="n">
        <v>1</v>
      </c>
      <c r="F89" s="6" t="s">
        <v>826</v>
      </c>
      <c r="G89" s="6" t="s">
        <v>827</v>
      </c>
      <c r="H89" s="6" t="s">
        <v>332</v>
      </c>
      <c r="I89" s="6" t="s">
        <v>828</v>
      </c>
      <c r="J89" s="6" t="s">
        <v>829</v>
      </c>
      <c r="K89" s="6" t="s">
        <v>47</v>
      </c>
      <c r="L89" s="6" t="s">
        <v>88</v>
      </c>
      <c r="M89" s="6" t="n">
        <v>17</v>
      </c>
      <c r="N89" s="6" t="s">
        <v>300</v>
      </c>
      <c r="O89" s="6"/>
      <c r="P89" s="6"/>
      <c r="Q89" s="6"/>
      <c r="R89" s="6" t="n">
        <v>1</v>
      </c>
      <c r="S89" s="6"/>
      <c r="T89" s="6"/>
      <c r="U89" s="6" t="n">
        <v>1</v>
      </c>
      <c r="V89" s="6"/>
      <c r="W89" s="6"/>
      <c r="X89" s="6"/>
      <c r="Y89" s="6"/>
      <c r="Z89" s="6"/>
      <c r="AA89" s="6"/>
      <c r="AB89" s="6"/>
      <c r="AC89" s="6"/>
      <c r="AD89" s="6"/>
      <c r="AE89" s="6"/>
      <c r="AF89" s="6"/>
      <c r="AG89" s="6"/>
      <c r="AH89" s="6"/>
      <c r="AI89" s="6"/>
      <c r="AJ89" s="6"/>
    </row>
    <row r="90" customFormat="false" ht="15" hidden="false" customHeight="false" outlineLevel="0" collapsed="false">
      <c r="A90" s="6" t="s">
        <v>830</v>
      </c>
      <c r="B90" s="6" t="s">
        <v>831</v>
      </c>
      <c r="C90" s="6" t="n">
        <v>2019</v>
      </c>
      <c r="D90" s="6" t="s">
        <v>832</v>
      </c>
      <c r="E90" s="6" t="n">
        <v>1</v>
      </c>
      <c r="F90" s="6" t="s">
        <v>833</v>
      </c>
      <c r="G90" s="6" t="s">
        <v>535</v>
      </c>
      <c r="H90" s="6" t="s">
        <v>604</v>
      </c>
      <c r="I90" s="6" t="s">
        <v>307</v>
      </c>
      <c r="J90" s="6" t="s">
        <v>834</v>
      </c>
      <c r="K90" s="6" t="s">
        <v>47</v>
      </c>
      <c r="L90" s="6" t="s">
        <v>72</v>
      </c>
      <c r="M90" s="6" t="n">
        <v>12</v>
      </c>
      <c r="N90" s="6" t="s">
        <v>309</v>
      </c>
      <c r="O90" s="6" t="n">
        <v>1</v>
      </c>
      <c r="P90" s="6" t="n">
        <v>1</v>
      </c>
      <c r="Q90" s="6" t="n">
        <v>1</v>
      </c>
      <c r="R90" s="6"/>
      <c r="S90" s="6"/>
      <c r="T90" s="6"/>
      <c r="U90" s="6"/>
      <c r="V90" s="6"/>
      <c r="W90" s="6" t="n">
        <v>1</v>
      </c>
      <c r="X90" s="6"/>
      <c r="Y90" s="6" t="n">
        <v>1</v>
      </c>
      <c r="Z90" s="6" t="n">
        <v>1</v>
      </c>
      <c r="AA90" s="6"/>
      <c r="AB90" s="6"/>
      <c r="AC90" s="6"/>
      <c r="AD90" s="6"/>
      <c r="AE90" s="6"/>
      <c r="AF90" s="6"/>
      <c r="AG90" s="6"/>
      <c r="AH90" s="6"/>
      <c r="AI90" s="6"/>
      <c r="AJ90" s="6"/>
    </row>
    <row r="91" customFormat="false" ht="15" hidden="false" customHeight="false" outlineLevel="0" collapsed="false">
      <c r="A91" s="6" t="s">
        <v>835</v>
      </c>
      <c r="B91" s="6" t="s">
        <v>836</v>
      </c>
      <c r="C91" s="6" t="n">
        <v>2026</v>
      </c>
      <c r="D91" s="6" t="s">
        <v>837</v>
      </c>
      <c r="E91" s="6" t="n">
        <v>7</v>
      </c>
      <c r="F91" s="6" t="s">
        <v>838</v>
      </c>
      <c r="G91" s="6" t="s">
        <v>839</v>
      </c>
      <c r="H91" s="6"/>
      <c r="I91" s="6"/>
      <c r="J91" s="6"/>
      <c r="K91" s="6" t="s">
        <v>47</v>
      </c>
      <c r="L91" s="6" t="s">
        <v>72</v>
      </c>
      <c r="M91" s="6" t="n">
        <v>0</v>
      </c>
      <c r="N91" s="6" t="s">
        <v>309</v>
      </c>
      <c r="O91" s="6"/>
      <c r="P91" s="6" t="n">
        <v>1</v>
      </c>
      <c r="Q91" s="6"/>
      <c r="R91" s="6"/>
      <c r="S91" s="6"/>
      <c r="T91" s="6"/>
      <c r="U91" s="6"/>
      <c r="V91" s="6" t="n">
        <v>1</v>
      </c>
      <c r="W91" s="6"/>
      <c r="X91" s="6"/>
      <c r="Y91" s="6"/>
      <c r="Z91" s="6"/>
      <c r="AA91" s="6"/>
      <c r="AB91" s="6" t="n">
        <v>1</v>
      </c>
      <c r="AC91" s="6"/>
      <c r="AD91" s="6"/>
      <c r="AE91" s="6"/>
      <c r="AF91" s="6"/>
      <c r="AG91" s="6"/>
      <c r="AH91" s="6"/>
      <c r="AI91" s="6"/>
      <c r="AJ91" s="6"/>
    </row>
    <row r="92" customFormat="false" ht="15" hidden="false" customHeight="false" outlineLevel="0" collapsed="false">
      <c r="A92" s="6" t="s">
        <v>840</v>
      </c>
      <c r="B92" s="6" t="s">
        <v>841</v>
      </c>
      <c r="C92" s="6" t="n">
        <v>2016</v>
      </c>
      <c r="D92" s="6" t="s">
        <v>842</v>
      </c>
      <c r="E92" s="6" t="n">
        <v>1</v>
      </c>
      <c r="F92" s="6" t="s">
        <v>843</v>
      </c>
      <c r="G92" s="6" t="s">
        <v>844</v>
      </c>
      <c r="H92" s="6" t="s">
        <v>735</v>
      </c>
      <c r="I92" s="6" t="s">
        <v>361</v>
      </c>
      <c r="J92" s="6" t="s">
        <v>845</v>
      </c>
      <c r="K92" s="6" t="s">
        <v>47</v>
      </c>
      <c r="L92" s="6" t="s">
        <v>78</v>
      </c>
      <c r="M92" s="6" t="n">
        <v>16</v>
      </c>
      <c r="N92" s="6" t="s">
        <v>309</v>
      </c>
      <c r="O92" s="6"/>
      <c r="P92" s="6"/>
      <c r="Q92" s="6"/>
      <c r="R92" s="6"/>
      <c r="S92" s="6"/>
      <c r="T92" s="6"/>
      <c r="U92" s="6"/>
      <c r="V92" s="6"/>
      <c r="W92" s="6"/>
      <c r="X92" s="6"/>
      <c r="Y92" s="6"/>
      <c r="Z92" s="6"/>
      <c r="AA92" s="6"/>
      <c r="AB92" s="6"/>
      <c r="AC92" s="6"/>
      <c r="AD92" s="6"/>
      <c r="AE92" s="6"/>
      <c r="AF92" s="6"/>
      <c r="AG92" s="6"/>
      <c r="AH92" s="6" t="n">
        <v>1</v>
      </c>
      <c r="AI92" s="6"/>
      <c r="AJ92" s="6"/>
    </row>
    <row r="93" customFormat="false" ht="15" hidden="false" customHeight="false" outlineLevel="0" collapsed="false">
      <c r="A93" s="6" t="s">
        <v>846</v>
      </c>
      <c r="B93" s="6" t="s">
        <v>261</v>
      </c>
      <c r="C93" s="6" t="n">
        <v>2022</v>
      </c>
      <c r="D93" s="6" t="s">
        <v>847</v>
      </c>
      <c r="E93" s="6" t="n">
        <v>3</v>
      </c>
      <c r="F93" s="6" t="s">
        <v>260</v>
      </c>
      <c r="G93" s="6" t="s">
        <v>259</v>
      </c>
      <c r="H93" s="6" t="s">
        <v>338</v>
      </c>
      <c r="I93" s="6" t="s">
        <v>306</v>
      </c>
      <c r="J93" s="6" t="s">
        <v>848</v>
      </c>
      <c r="K93" s="6" t="s">
        <v>48</v>
      </c>
      <c r="L93" s="6" t="s">
        <v>110</v>
      </c>
      <c r="M93" s="6" t="n">
        <v>46</v>
      </c>
      <c r="N93" s="6" t="s">
        <v>300</v>
      </c>
      <c r="O93" s="6"/>
      <c r="P93" s="6" t="n">
        <v>1</v>
      </c>
      <c r="Q93" s="6"/>
      <c r="R93" s="6"/>
      <c r="S93" s="6"/>
      <c r="T93" s="6" t="n">
        <v>1</v>
      </c>
      <c r="U93" s="6"/>
      <c r="V93" s="6" t="n">
        <v>1</v>
      </c>
      <c r="W93" s="6" t="n">
        <v>1</v>
      </c>
      <c r="X93" s="6"/>
      <c r="Y93" s="6"/>
      <c r="Z93" s="6" t="n">
        <v>1</v>
      </c>
      <c r="AA93" s="6"/>
      <c r="AB93" s="6"/>
      <c r="AC93" s="6"/>
      <c r="AD93" s="6"/>
      <c r="AE93" s="6"/>
      <c r="AF93" s="6"/>
      <c r="AG93" s="6"/>
      <c r="AH93" s="6"/>
      <c r="AI93" s="6"/>
      <c r="AJ93" s="6"/>
    </row>
    <row r="94" customFormat="false" ht="15" hidden="false" customHeight="false" outlineLevel="0" collapsed="false">
      <c r="A94" s="6" t="s">
        <v>849</v>
      </c>
      <c r="B94" s="6" t="s">
        <v>850</v>
      </c>
      <c r="C94" s="6" t="n">
        <v>2020</v>
      </c>
      <c r="D94" s="6" t="s">
        <v>851</v>
      </c>
      <c r="E94" s="6" t="n">
        <v>2</v>
      </c>
      <c r="F94" s="6" t="s">
        <v>852</v>
      </c>
      <c r="G94" s="6" t="s">
        <v>827</v>
      </c>
      <c r="H94" s="6" t="s">
        <v>455</v>
      </c>
      <c r="I94" s="6" t="s">
        <v>353</v>
      </c>
      <c r="J94" s="6" t="s">
        <v>853</v>
      </c>
      <c r="K94" s="6" t="s">
        <v>47</v>
      </c>
      <c r="L94" s="6" t="s">
        <v>88</v>
      </c>
      <c r="M94" s="6" t="n">
        <v>7</v>
      </c>
      <c r="N94" s="6" t="s">
        <v>300</v>
      </c>
      <c r="O94" s="6"/>
      <c r="P94" s="6" t="n">
        <v>1</v>
      </c>
      <c r="Q94" s="6"/>
      <c r="R94" s="6"/>
      <c r="S94" s="6"/>
      <c r="T94" s="6"/>
      <c r="U94" s="6"/>
      <c r="V94" s="6"/>
      <c r="W94" s="6"/>
      <c r="X94" s="6"/>
      <c r="Y94" s="6" t="n">
        <v>1</v>
      </c>
      <c r="Z94" s="6"/>
      <c r="AA94" s="6"/>
      <c r="AB94" s="6"/>
      <c r="AC94" s="6"/>
      <c r="AD94" s="6"/>
      <c r="AE94" s="6"/>
      <c r="AF94" s="6"/>
      <c r="AG94" s="6"/>
      <c r="AH94" s="6"/>
      <c r="AI94" s="6"/>
      <c r="AJ94" s="6"/>
    </row>
    <row r="95" customFormat="false" ht="15" hidden="false" customHeight="false" outlineLevel="0" collapsed="false">
      <c r="A95" s="6" t="s">
        <v>854</v>
      </c>
      <c r="B95" s="6" t="s">
        <v>249</v>
      </c>
      <c r="C95" s="6" t="n">
        <v>2025</v>
      </c>
      <c r="D95" s="6" t="s">
        <v>855</v>
      </c>
      <c r="E95" s="6" t="n">
        <v>5</v>
      </c>
      <c r="F95" s="6" t="s">
        <v>248</v>
      </c>
      <c r="G95" s="6" t="s">
        <v>247</v>
      </c>
      <c r="H95" s="6" t="s">
        <v>581</v>
      </c>
      <c r="I95" s="6"/>
      <c r="J95" s="6" t="s">
        <v>856</v>
      </c>
      <c r="K95" s="6" t="s">
        <v>47</v>
      </c>
      <c r="L95" s="6" t="s">
        <v>80</v>
      </c>
      <c r="M95" s="6" t="n">
        <v>49</v>
      </c>
      <c r="N95" s="6" t="s">
        <v>300</v>
      </c>
      <c r="O95" s="6"/>
      <c r="P95" s="6"/>
      <c r="Q95" s="6" t="n">
        <v>1</v>
      </c>
      <c r="R95" s="6"/>
      <c r="S95" s="6"/>
      <c r="T95" s="6"/>
      <c r="U95" s="6" t="n">
        <v>1</v>
      </c>
      <c r="V95" s="6"/>
      <c r="W95" s="6"/>
      <c r="X95" s="6"/>
      <c r="Y95" s="6"/>
      <c r="Z95" s="6"/>
      <c r="AA95" s="6"/>
      <c r="AB95" s="6"/>
      <c r="AC95" s="6" t="n">
        <v>1</v>
      </c>
      <c r="AD95" s="6"/>
      <c r="AE95" s="6"/>
      <c r="AF95" s="6"/>
      <c r="AG95" s="6"/>
      <c r="AH95" s="6"/>
      <c r="AI95" s="6" t="n">
        <v>1</v>
      </c>
      <c r="AJ95" s="6"/>
    </row>
    <row r="96" customFormat="false" ht="15" hidden="false" customHeight="false" outlineLevel="0" collapsed="false">
      <c r="A96" s="6" t="s">
        <v>857</v>
      </c>
      <c r="B96" s="6" t="s">
        <v>858</v>
      </c>
      <c r="C96" s="6" t="n">
        <v>2026</v>
      </c>
      <c r="D96" s="6" t="s">
        <v>859</v>
      </c>
      <c r="E96" s="6" t="n">
        <v>4</v>
      </c>
      <c r="F96" s="6" t="s">
        <v>860</v>
      </c>
      <c r="G96" s="6" t="s">
        <v>861</v>
      </c>
      <c r="H96" s="6" t="s">
        <v>862</v>
      </c>
      <c r="I96" s="6"/>
      <c r="J96" s="6" t="s">
        <v>863</v>
      </c>
      <c r="K96" s="6" t="s">
        <v>48</v>
      </c>
      <c r="L96" s="6" t="s">
        <v>74</v>
      </c>
      <c r="M96" s="6" t="n">
        <v>0</v>
      </c>
      <c r="N96" s="6" t="s">
        <v>300</v>
      </c>
      <c r="O96" s="6" t="n">
        <v>1</v>
      </c>
      <c r="P96" s="6"/>
      <c r="Q96" s="6"/>
      <c r="R96" s="6"/>
      <c r="S96" s="6"/>
      <c r="T96" s="6"/>
      <c r="U96" s="6" t="n">
        <v>1</v>
      </c>
      <c r="V96" s="6"/>
      <c r="W96" s="6"/>
      <c r="X96" s="6"/>
      <c r="Y96" s="6"/>
      <c r="Z96" s="6"/>
      <c r="AA96" s="6"/>
      <c r="AB96" s="6"/>
      <c r="AC96" s="6"/>
      <c r="AD96" s="6"/>
      <c r="AE96" s="6"/>
      <c r="AF96" s="6" t="n">
        <v>1</v>
      </c>
      <c r="AG96" s="6"/>
      <c r="AH96" s="6"/>
      <c r="AI96" s="6"/>
      <c r="AJ96" s="6"/>
    </row>
    <row r="97" customFormat="false" ht="15" hidden="false" customHeight="false" outlineLevel="0" collapsed="false">
      <c r="A97" s="6" t="s">
        <v>864</v>
      </c>
      <c r="B97" s="6" t="s">
        <v>865</v>
      </c>
      <c r="C97" s="6" t="n">
        <v>2026</v>
      </c>
      <c r="D97" s="6" t="s">
        <v>866</v>
      </c>
      <c r="E97" s="6" t="n">
        <v>2</v>
      </c>
      <c r="F97" s="6" t="s">
        <v>867</v>
      </c>
      <c r="G97" s="6" t="s">
        <v>296</v>
      </c>
      <c r="H97" s="6" t="s">
        <v>297</v>
      </c>
      <c r="I97" s="6" t="s">
        <v>298</v>
      </c>
      <c r="J97" s="6" t="s">
        <v>868</v>
      </c>
      <c r="K97" s="6" t="s">
        <v>47</v>
      </c>
      <c r="L97" s="6" t="s">
        <v>76</v>
      </c>
      <c r="M97" s="6" t="n">
        <v>1</v>
      </c>
      <c r="N97" s="6" t="s">
        <v>309</v>
      </c>
      <c r="O97" s="6"/>
      <c r="P97" s="6"/>
      <c r="Q97" s="6"/>
      <c r="R97" s="6" t="n">
        <v>1</v>
      </c>
      <c r="S97" s="6"/>
      <c r="T97" s="6" t="n">
        <v>1</v>
      </c>
      <c r="U97" s="6"/>
      <c r="V97" s="6"/>
      <c r="W97" s="6"/>
      <c r="X97" s="6" t="n">
        <v>1</v>
      </c>
      <c r="Y97" s="6"/>
      <c r="Z97" s="6"/>
      <c r="AA97" s="6"/>
      <c r="AB97" s="6"/>
      <c r="AC97" s="6" t="n">
        <v>1</v>
      </c>
      <c r="AD97" s="6"/>
      <c r="AE97" s="6"/>
      <c r="AF97" s="6" t="n">
        <v>1</v>
      </c>
      <c r="AG97" s="6" t="n">
        <v>1</v>
      </c>
      <c r="AH97" s="6"/>
      <c r="AI97" s="6"/>
      <c r="AJ97" s="6"/>
    </row>
    <row r="98" customFormat="false" ht="15" hidden="false" customHeight="false" outlineLevel="0" collapsed="false">
      <c r="A98" s="6" t="s">
        <v>869</v>
      </c>
      <c r="B98" s="6" t="s">
        <v>870</v>
      </c>
      <c r="C98" s="6" t="n">
        <v>2023</v>
      </c>
      <c r="D98" s="6" t="s">
        <v>871</v>
      </c>
      <c r="E98" s="6" t="n">
        <v>2</v>
      </c>
      <c r="F98" s="6" t="s">
        <v>872</v>
      </c>
      <c r="G98" s="6" t="s">
        <v>716</v>
      </c>
      <c r="H98" s="6" t="s">
        <v>298</v>
      </c>
      <c r="I98" s="6" t="s">
        <v>324</v>
      </c>
      <c r="J98" s="6" t="s">
        <v>873</v>
      </c>
      <c r="K98" s="6" t="s">
        <v>47</v>
      </c>
      <c r="L98" s="6" t="s">
        <v>87</v>
      </c>
      <c r="M98" s="6" t="n">
        <v>3</v>
      </c>
      <c r="N98" s="6" t="s">
        <v>300</v>
      </c>
      <c r="O98" s="6"/>
      <c r="P98" s="6"/>
      <c r="Q98" s="6"/>
      <c r="R98" s="6"/>
      <c r="S98" s="6"/>
      <c r="T98" s="6"/>
      <c r="U98" s="6"/>
      <c r="V98" s="6" t="n">
        <v>1</v>
      </c>
      <c r="W98" s="6" t="n">
        <v>1</v>
      </c>
      <c r="X98" s="6"/>
      <c r="Y98" s="6"/>
      <c r="Z98" s="6"/>
      <c r="AA98" s="6"/>
      <c r="AB98" s="6"/>
      <c r="AC98" s="6"/>
      <c r="AD98" s="6"/>
      <c r="AE98" s="6"/>
      <c r="AF98" s="6"/>
      <c r="AG98" s="6"/>
      <c r="AH98" s="6"/>
      <c r="AI98" s="6"/>
      <c r="AJ98" s="6"/>
    </row>
    <row r="99" customFormat="false" ht="15" hidden="false" customHeight="false" outlineLevel="0" collapsed="false">
      <c r="A99" s="6" t="s">
        <v>874</v>
      </c>
      <c r="B99" s="6" t="s">
        <v>875</v>
      </c>
      <c r="C99" s="6" t="n">
        <v>2020</v>
      </c>
      <c r="D99" s="6" t="s">
        <v>876</v>
      </c>
      <c r="E99" s="6" t="n">
        <v>3</v>
      </c>
      <c r="F99" s="6" t="s">
        <v>877</v>
      </c>
      <c r="G99" s="6" t="s">
        <v>401</v>
      </c>
      <c r="H99" s="6" t="s">
        <v>878</v>
      </c>
      <c r="I99" s="6" t="s">
        <v>353</v>
      </c>
      <c r="J99" s="6" t="s">
        <v>879</v>
      </c>
      <c r="K99" s="6" t="s">
        <v>47</v>
      </c>
      <c r="L99" s="6" t="s">
        <v>111</v>
      </c>
      <c r="M99" s="6" t="n">
        <v>35</v>
      </c>
      <c r="N99" s="6" t="s">
        <v>309</v>
      </c>
      <c r="O99" s="6"/>
      <c r="P99" s="6"/>
      <c r="Q99" s="6" t="n">
        <v>1</v>
      </c>
      <c r="R99" s="6"/>
      <c r="S99" s="6"/>
      <c r="T99" s="6"/>
      <c r="U99" s="6" t="n">
        <v>1</v>
      </c>
      <c r="V99" s="6" t="n">
        <v>1</v>
      </c>
      <c r="W99" s="6" t="n">
        <v>1</v>
      </c>
      <c r="X99" s="6"/>
      <c r="Y99" s="6"/>
      <c r="Z99" s="6"/>
      <c r="AA99" s="6"/>
      <c r="AB99" s="6"/>
      <c r="AC99" s="6"/>
      <c r="AD99" s="6"/>
      <c r="AE99" s="6"/>
      <c r="AF99" s="6"/>
      <c r="AG99" s="6"/>
      <c r="AH99" s="6"/>
      <c r="AI99" s="6"/>
      <c r="AJ99" s="6"/>
    </row>
    <row r="100" customFormat="false" ht="15" hidden="false" customHeight="false" outlineLevel="0" collapsed="false">
      <c r="A100" s="6" t="s">
        <v>880</v>
      </c>
      <c r="B100" s="6"/>
      <c r="C100" s="6" t="n">
        <v>2025</v>
      </c>
      <c r="D100" s="6" t="s">
        <v>881</v>
      </c>
      <c r="E100" s="6" t="n">
        <v>2</v>
      </c>
      <c r="F100" s="6" t="s">
        <v>882</v>
      </c>
      <c r="G100" s="6" t="s">
        <v>883</v>
      </c>
      <c r="H100" s="6" t="s">
        <v>65</v>
      </c>
      <c r="I100" s="6" t="s">
        <v>559</v>
      </c>
      <c r="J100" s="6"/>
      <c r="K100" s="6" t="s">
        <v>48</v>
      </c>
      <c r="L100" s="6" t="s">
        <v>74</v>
      </c>
      <c r="M100" s="6" t="n">
        <v>0</v>
      </c>
      <c r="N100" s="6" t="s">
        <v>309</v>
      </c>
      <c r="O100" s="6"/>
      <c r="P100" s="6"/>
      <c r="Q100" s="6" t="n">
        <v>1</v>
      </c>
      <c r="R100" s="6" t="n">
        <v>1</v>
      </c>
      <c r="S100" s="6"/>
      <c r="T100" s="6"/>
      <c r="U100" s="6" t="n">
        <v>1</v>
      </c>
      <c r="V100" s="6" t="n">
        <v>1</v>
      </c>
      <c r="W100" s="6"/>
      <c r="X100" s="6" t="n">
        <v>1</v>
      </c>
      <c r="Y100" s="6"/>
      <c r="Z100" s="6"/>
      <c r="AA100" s="6"/>
      <c r="AB100" s="6" t="n">
        <v>1</v>
      </c>
      <c r="AC100" s="6"/>
      <c r="AD100" s="6"/>
      <c r="AE100" s="6" t="n">
        <v>1</v>
      </c>
      <c r="AF100" s="6" t="n">
        <v>1</v>
      </c>
      <c r="AG100" s="6"/>
      <c r="AH100" s="6"/>
      <c r="AI100" s="6"/>
      <c r="AJ100" s="6"/>
    </row>
    <row r="101" customFormat="false" ht="15" hidden="false" customHeight="false" outlineLevel="0" collapsed="false">
      <c r="A101" s="6" t="s">
        <v>884</v>
      </c>
      <c r="B101" s="6" t="s">
        <v>885</v>
      </c>
      <c r="C101" s="6" t="n">
        <v>2022</v>
      </c>
      <c r="D101" s="6" t="s">
        <v>886</v>
      </c>
      <c r="E101" s="6" t="n">
        <v>2</v>
      </c>
      <c r="F101" s="6" t="s">
        <v>887</v>
      </c>
      <c r="G101" s="6" t="s">
        <v>888</v>
      </c>
      <c r="H101" s="6" t="s">
        <v>332</v>
      </c>
      <c r="I101" s="6" t="s">
        <v>353</v>
      </c>
      <c r="J101" s="6"/>
      <c r="K101" s="6" t="s">
        <v>47</v>
      </c>
      <c r="L101" s="6" t="s">
        <v>90</v>
      </c>
      <c r="M101" s="6" t="n">
        <v>4</v>
      </c>
      <c r="N101" s="6" t="s">
        <v>300</v>
      </c>
      <c r="O101" s="6"/>
      <c r="P101" s="6"/>
      <c r="Q101" s="6" t="n">
        <v>1</v>
      </c>
      <c r="R101" s="6"/>
      <c r="S101" s="6"/>
      <c r="T101" s="6"/>
      <c r="U101" s="6" t="n">
        <v>1</v>
      </c>
      <c r="V101" s="6"/>
      <c r="W101" s="6"/>
      <c r="X101" s="6"/>
      <c r="Y101" s="6" t="n">
        <v>1</v>
      </c>
      <c r="Z101" s="6"/>
      <c r="AA101" s="6" t="n">
        <v>1</v>
      </c>
      <c r="AB101" s="6" t="n">
        <v>1</v>
      </c>
      <c r="AC101" s="6"/>
      <c r="AD101" s="6"/>
      <c r="AE101" s="6"/>
      <c r="AF101" s="6"/>
      <c r="AG101" s="6"/>
      <c r="AH101" s="6"/>
      <c r="AI101" s="6"/>
      <c r="AJ101" s="6" t="n">
        <v>1</v>
      </c>
    </row>
    <row r="102" customFormat="false" ht="15" hidden="false" customHeight="false" outlineLevel="0" collapsed="false">
      <c r="A102" s="6" t="s">
        <v>889</v>
      </c>
      <c r="B102" s="6" t="s">
        <v>890</v>
      </c>
      <c r="C102" s="6" t="n">
        <v>2023</v>
      </c>
      <c r="D102" s="6" t="s">
        <v>891</v>
      </c>
      <c r="E102" s="6" t="n">
        <v>1</v>
      </c>
      <c r="F102" s="6" t="s">
        <v>892</v>
      </c>
      <c r="G102" s="6" t="s">
        <v>893</v>
      </c>
      <c r="H102" s="6" t="s">
        <v>332</v>
      </c>
      <c r="I102" s="6" t="s">
        <v>316</v>
      </c>
      <c r="J102" s="6" t="s">
        <v>894</v>
      </c>
      <c r="K102" s="6" t="s">
        <v>47</v>
      </c>
      <c r="L102" s="6" t="s">
        <v>74</v>
      </c>
      <c r="M102" s="6" t="n">
        <v>1</v>
      </c>
      <c r="N102" s="6" t="s">
        <v>300</v>
      </c>
      <c r="O102" s="6"/>
      <c r="P102" s="6"/>
      <c r="Q102" s="6"/>
      <c r="R102" s="6"/>
      <c r="S102" s="6"/>
      <c r="T102" s="6"/>
      <c r="U102" s="6" t="n">
        <v>1</v>
      </c>
      <c r="V102" s="6"/>
      <c r="W102" s="6"/>
      <c r="X102" s="6"/>
      <c r="Y102" s="6"/>
      <c r="Z102" s="6" t="n">
        <v>1</v>
      </c>
      <c r="AA102" s="6"/>
      <c r="AB102" s="6"/>
      <c r="AC102" s="6"/>
      <c r="AD102" s="6"/>
      <c r="AE102" s="6"/>
      <c r="AF102" s="6"/>
      <c r="AG102" s="6"/>
      <c r="AH102" s="6"/>
      <c r="AI102" s="6"/>
      <c r="AJ102" s="6"/>
    </row>
    <row r="103" customFormat="false" ht="15" hidden="false" customHeight="false" outlineLevel="0" collapsed="false">
      <c r="A103" s="6" t="s">
        <v>895</v>
      </c>
      <c r="B103" s="6" t="s">
        <v>896</v>
      </c>
      <c r="C103" s="6" t="n">
        <v>2025</v>
      </c>
      <c r="D103" s="6" t="s">
        <v>897</v>
      </c>
      <c r="E103" s="6" t="n">
        <v>1</v>
      </c>
      <c r="F103" s="6" t="s">
        <v>898</v>
      </c>
      <c r="G103" s="6" t="s">
        <v>899</v>
      </c>
      <c r="H103" s="6" t="s">
        <v>750</v>
      </c>
      <c r="I103" s="6" t="s">
        <v>316</v>
      </c>
      <c r="J103" s="6" t="s">
        <v>900</v>
      </c>
      <c r="K103" s="6" t="s">
        <v>47</v>
      </c>
      <c r="L103" s="6" t="s">
        <v>72</v>
      </c>
      <c r="M103" s="6" t="n">
        <v>0</v>
      </c>
      <c r="N103" s="6" t="s">
        <v>300</v>
      </c>
      <c r="O103" s="6"/>
      <c r="P103" s="6"/>
      <c r="Q103" s="6"/>
      <c r="R103" s="6" t="n">
        <v>1</v>
      </c>
      <c r="S103" s="6"/>
      <c r="T103" s="6" t="n">
        <v>1</v>
      </c>
      <c r="U103" s="6"/>
      <c r="V103" s="6"/>
      <c r="W103" s="6"/>
      <c r="X103" s="6" t="n">
        <v>1</v>
      </c>
      <c r="Y103" s="6"/>
      <c r="Z103" s="6"/>
      <c r="AA103" s="6"/>
      <c r="AB103" s="6"/>
      <c r="AC103" s="6"/>
      <c r="AD103" s="6"/>
      <c r="AE103" s="6"/>
      <c r="AF103" s="6" t="n">
        <v>1</v>
      </c>
      <c r="AG103" s="6"/>
      <c r="AH103" s="6"/>
      <c r="AI103" s="6"/>
      <c r="AJ103" s="6"/>
    </row>
    <row r="104" customFormat="false" ht="15" hidden="false" customHeight="false" outlineLevel="0" collapsed="false">
      <c r="A104" s="6" t="s">
        <v>901</v>
      </c>
      <c r="B104" s="6" t="s">
        <v>902</v>
      </c>
      <c r="C104" s="6" t="n">
        <v>2026</v>
      </c>
      <c r="D104" s="6" t="s">
        <v>903</v>
      </c>
      <c r="E104" s="6" t="n">
        <v>1</v>
      </c>
      <c r="F104" s="6" t="s">
        <v>904</v>
      </c>
      <c r="G104" s="6" t="s">
        <v>905</v>
      </c>
      <c r="H104" s="6" t="s">
        <v>323</v>
      </c>
      <c r="I104" s="6" t="s">
        <v>316</v>
      </c>
      <c r="J104" s="6" t="s">
        <v>906</v>
      </c>
      <c r="K104" s="6" t="s">
        <v>47</v>
      </c>
      <c r="L104" s="6" t="s">
        <v>74</v>
      </c>
      <c r="M104" s="6" t="n">
        <v>2</v>
      </c>
      <c r="N104" s="6" t="s">
        <v>300</v>
      </c>
      <c r="O104" s="6"/>
      <c r="P104" s="6"/>
      <c r="Q104" s="6"/>
      <c r="R104" s="6" t="n">
        <v>1</v>
      </c>
      <c r="S104" s="6" t="n">
        <v>1</v>
      </c>
      <c r="T104" s="6" t="n">
        <v>1</v>
      </c>
      <c r="U104" s="6"/>
      <c r="V104" s="6"/>
      <c r="W104" s="6"/>
      <c r="X104" s="6" t="n">
        <v>1</v>
      </c>
      <c r="Y104" s="6"/>
      <c r="Z104" s="6"/>
      <c r="AA104" s="6"/>
      <c r="AB104" s="6"/>
      <c r="AC104" s="6"/>
      <c r="AD104" s="6"/>
      <c r="AE104" s="6" t="n">
        <v>1</v>
      </c>
      <c r="AF104" s="6" t="n">
        <v>1</v>
      </c>
      <c r="AG104" s="6"/>
      <c r="AH104" s="6"/>
      <c r="AI104" s="6"/>
      <c r="AJ104" s="6"/>
    </row>
    <row r="105" customFormat="false" ht="15" hidden="false" customHeight="false" outlineLevel="0" collapsed="false">
      <c r="A105" s="6" t="s">
        <v>907</v>
      </c>
      <c r="B105" s="6" t="s">
        <v>908</v>
      </c>
      <c r="C105" s="6" t="n">
        <v>2026</v>
      </c>
      <c r="D105" s="6" t="s">
        <v>909</v>
      </c>
      <c r="E105" s="6" t="n">
        <v>3</v>
      </c>
      <c r="F105" s="6" t="s">
        <v>910</v>
      </c>
      <c r="G105" s="6" t="s">
        <v>796</v>
      </c>
      <c r="H105" s="6" t="s">
        <v>315</v>
      </c>
      <c r="I105" s="6" t="s">
        <v>324</v>
      </c>
      <c r="J105" s="6" t="s">
        <v>628</v>
      </c>
      <c r="K105" s="6" t="s">
        <v>47</v>
      </c>
      <c r="L105" s="6" t="s">
        <v>93</v>
      </c>
      <c r="M105" s="6" t="n">
        <v>3</v>
      </c>
      <c r="N105" s="6" t="s">
        <v>300</v>
      </c>
      <c r="O105" s="6"/>
      <c r="P105" s="6"/>
      <c r="Q105" s="6" t="n">
        <v>1</v>
      </c>
      <c r="R105" s="6"/>
      <c r="S105" s="6"/>
      <c r="T105" s="6"/>
      <c r="U105" s="6" t="n">
        <v>1</v>
      </c>
      <c r="V105" s="6" t="n">
        <v>1</v>
      </c>
      <c r="W105" s="6"/>
      <c r="X105" s="6"/>
      <c r="Y105" s="6"/>
      <c r="Z105" s="6"/>
      <c r="AA105" s="6"/>
      <c r="AB105" s="6" t="n">
        <v>1</v>
      </c>
      <c r="AC105" s="6" t="n">
        <v>1</v>
      </c>
      <c r="AD105" s="6"/>
      <c r="AE105" s="6"/>
      <c r="AF105" s="6"/>
      <c r="AG105" s="6"/>
      <c r="AH105" s="6"/>
      <c r="AI105" s="6"/>
      <c r="AJ105" s="6"/>
    </row>
    <row r="106" customFormat="false" ht="15" hidden="false" customHeight="false" outlineLevel="0" collapsed="false">
      <c r="A106" s="6" t="s">
        <v>911</v>
      </c>
      <c r="B106" s="6" t="s">
        <v>912</v>
      </c>
      <c r="C106" s="6" t="n">
        <v>2026</v>
      </c>
      <c r="D106" s="6" t="s">
        <v>913</v>
      </c>
      <c r="E106" s="6" t="n">
        <v>4</v>
      </c>
      <c r="F106" s="6" t="s">
        <v>914</v>
      </c>
      <c r="G106" s="6" t="s">
        <v>367</v>
      </c>
      <c r="H106" s="6" t="s">
        <v>495</v>
      </c>
      <c r="I106" s="6" t="s">
        <v>802</v>
      </c>
      <c r="J106" s="6" t="s">
        <v>455</v>
      </c>
      <c r="K106" s="6" t="s">
        <v>48</v>
      </c>
      <c r="L106" s="6" t="s">
        <v>74</v>
      </c>
      <c r="M106" s="6" t="n">
        <v>0</v>
      </c>
      <c r="N106" s="6" t="s">
        <v>300</v>
      </c>
      <c r="O106" s="6"/>
      <c r="P106" s="6"/>
      <c r="Q106" s="6" t="n">
        <v>1</v>
      </c>
      <c r="R106" s="6"/>
      <c r="S106" s="6"/>
      <c r="T106" s="6"/>
      <c r="U106" s="6" t="n">
        <v>1</v>
      </c>
      <c r="V106" s="6"/>
      <c r="W106" s="6"/>
      <c r="X106" s="6"/>
      <c r="Y106" s="6"/>
      <c r="Z106" s="6"/>
      <c r="AA106" s="6"/>
      <c r="AB106" s="6"/>
      <c r="AC106" s="6" t="n">
        <v>1</v>
      </c>
      <c r="AD106" s="6"/>
      <c r="AE106" s="6" t="n">
        <v>1</v>
      </c>
      <c r="AF106" s="6" t="n">
        <v>1</v>
      </c>
      <c r="AG106" s="6"/>
      <c r="AH106" s="6"/>
      <c r="AI106" s="6"/>
      <c r="AJ106" s="6"/>
    </row>
    <row r="107" customFormat="false" ht="15" hidden="false" customHeight="false" outlineLevel="0" collapsed="false">
      <c r="A107" s="6" t="s">
        <v>915</v>
      </c>
      <c r="B107" s="6" t="s">
        <v>916</v>
      </c>
      <c r="C107" s="6" t="n">
        <v>2020</v>
      </c>
      <c r="D107" s="6" t="s">
        <v>917</v>
      </c>
      <c r="E107" s="6" t="n">
        <v>2</v>
      </c>
      <c r="F107" s="6" t="s">
        <v>918</v>
      </c>
      <c r="G107" s="6" t="s">
        <v>919</v>
      </c>
      <c r="H107" s="6" t="s">
        <v>60</v>
      </c>
      <c r="I107" s="6" t="s">
        <v>332</v>
      </c>
      <c r="J107" s="6" t="s">
        <v>920</v>
      </c>
      <c r="K107" s="6" t="s">
        <v>48</v>
      </c>
      <c r="L107" s="6" t="s">
        <v>74</v>
      </c>
      <c r="M107" s="6" t="n">
        <v>9</v>
      </c>
      <c r="N107" s="6" t="s">
        <v>309</v>
      </c>
      <c r="O107" s="6"/>
      <c r="P107" s="6" t="n">
        <v>1</v>
      </c>
      <c r="Q107" s="6" t="n">
        <v>1</v>
      </c>
      <c r="R107" s="6"/>
      <c r="S107" s="6"/>
      <c r="T107" s="6"/>
      <c r="U107" s="6"/>
      <c r="V107" s="6" t="n">
        <v>1</v>
      </c>
      <c r="W107" s="6"/>
      <c r="X107" s="6"/>
      <c r="Y107" s="6" t="n">
        <v>1</v>
      </c>
      <c r="Z107" s="6" t="n">
        <v>1</v>
      </c>
      <c r="AA107" s="6"/>
      <c r="AB107" s="6"/>
      <c r="AC107" s="6"/>
      <c r="AD107" s="6"/>
      <c r="AE107" s="6" t="n">
        <v>1</v>
      </c>
      <c r="AF107" s="6"/>
      <c r="AG107" s="6"/>
      <c r="AH107" s="6" t="n">
        <v>1</v>
      </c>
      <c r="AI107" s="6"/>
      <c r="AJ107" s="6"/>
    </row>
    <row r="108" customFormat="false" ht="15" hidden="false" customHeight="false" outlineLevel="0" collapsed="false">
      <c r="A108" s="6" t="s">
        <v>921</v>
      </c>
      <c r="B108" s="6" t="s">
        <v>241</v>
      </c>
      <c r="C108" s="6" t="n">
        <v>2019</v>
      </c>
      <c r="D108" s="6" t="s">
        <v>922</v>
      </c>
      <c r="E108" s="6" t="n">
        <v>1</v>
      </c>
      <c r="F108" s="6" t="s">
        <v>240</v>
      </c>
      <c r="G108" s="6" t="s">
        <v>239</v>
      </c>
      <c r="H108" s="6" t="s">
        <v>750</v>
      </c>
      <c r="I108" s="6" t="s">
        <v>316</v>
      </c>
      <c r="J108" s="6" t="s">
        <v>923</v>
      </c>
      <c r="K108" s="6" t="s">
        <v>47</v>
      </c>
      <c r="L108" s="6" t="s">
        <v>924</v>
      </c>
      <c r="M108" s="6" t="n">
        <v>71</v>
      </c>
      <c r="N108" s="6" t="s">
        <v>300</v>
      </c>
      <c r="O108" s="6"/>
      <c r="P108" s="6"/>
      <c r="Q108" s="6"/>
      <c r="R108" s="6"/>
      <c r="S108" s="6"/>
      <c r="T108" s="6"/>
      <c r="U108" s="6"/>
      <c r="V108" s="6"/>
      <c r="W108" s="6" t="n">
        <v>1</v>
      </c>
      <c r="X108" s="6"/>
      <c r="Y108" s="6"/>
      <c r="Z108" s="6" t="n">
        <v>1</v>
      </c>
      <c r="AA108" s="6"/>
      <c r="AB108" s="6"/>
      <c r="AC108" s="6"/>
      <c r="AD108" s="6"/>
      <c r="AE108" s="6"/>
      <c r="AF108" s="6"/>
      <c r="AG108" s="6"/>
      <c r="AH108" s="6"/>
      <c r="AI108" s="6"/>
      <c r="AJ108" s="6"/>
    </row>
    <row r="109" customFormat="false" ht="15" hidden="false" customHeight="false" outlineLevel="0" collapsed="false">
      <c r="A109" s="6" t="s">
        <v>925</v>
      </c>
      <c r="B109" s="6" t="s">
        <v>926</v>
      </c>
      <c r="C109" s="6" t="n">
        <v>2026</v>
      </c>
      <c r="D109" s="6" t="s">
        <v>927</v>
      </c>
      <c r="E109" s="6" t="n">
        <v>1</v>
      </c>
      <c r="F109" s="6" t="s">
        <v>928</v>
      </c>
      <c r="G109" s="6" t="s">
        <v>929</v>
      </c>
      <c r="H109" s="6" t="s">
        <v>930</v>
      </c>
      <c r="I109" s="6"/>
      <c r="J109" s="6" t="s">
        <v>931</v>
      </c>
      <c r="K109" s="6" t="s">
        <v>47</v>
      </c>
      <c r="L109" s="6" t="s">
        <v>76</v>
      </c>
      <c r="M109" s="6" t="n">
        <v>0</v>
      </c>
      <c r="N109" s="6" t="s">
        <v>300</v>
      </c>
      <c r="O109" s="6"/>
      <c r="P109" s="6"/>
      <c r="Q109" s="6"/>
      <c r="R109" s="6"/>
      <c r="S109" s="6"/>
      <c r="T109" s="6" t="n">
        <v>1</v>
      </c>
      <c r="U109" s="6"/>
      <c r="V109" s="6" t="n">
        <v>1</v>
      </c>
      <c r="W109" s="6" t="n">
        <v>1</v>
      </c>
      <c r="X109" s="6"/>
      <c r="Y109" s="6"/>
      <c r="Z109" s="6"/>
      <c r="AA109" s="6"/>
      <c r="AB109" s="6"/>
      <c r="AC109" s="6" t="n">
        <v>1</v>
      </c>
      <c r="AD109" s="6"/>
      <c r="AE109" s="6"/>
      <c r="AF109" s="6"/>
      <c r="AG109" s="6" t="n">
        <v>1</v>
      </c>
      <c r="AH109" s="6"/>
      <c r="AI109" s="6"/>
      <c r="AJ109" s="6"/>
    </row>
    <row r="110" customFormat="false" ht="15" hidden="false" customHeight="false" outlineLevel="0" collapsed="false">
      <c r="A110" s="6" t="s">
        <v>932</v>
      </c>
      <c r="B110" s="6" t="s">
        <v>933</v>
      </c>
      <c r="C110" s="6" t="n">
        <v>2026</v>
      </c>
      <c r="D110" s="6" t="s">
        <v>934</v>
      </c>
      <c r="E110" s="6" t="n">
        <v>4</v>
      </c>
      <c r="F110" s="6" t="s">
        <v>935</v>
      </c>
      <c r="G110" s="6" t="s">
        <v>861</v>
      </c>
      <c r="H110" s="6" t="s">
        <v>862</v>
      </c>
      <c r="I110" s="6"/>
      <c r="J110" s="6" t="s">
        <v>936</v>
      </c>
      <c r="K110" s="6" t="s">
        <v>48</v>
      </c>
      <c r="L110" s="6" t="s">
        <v>74</v>
      </c>
      <c r="M110" s="6" t="n">
        <v>0</v>
      </c>
      <c r="N110" s="6" t="s">
        <v>300</v>
      </c>
      <c r="O110" s="6"/>
      <c r="P110" s="6" t="n">
        <v>1</v>
      </c>
      <c r="Q110" s="6"/>
      <c r="R110" s="6"/>
      <c r="S110" s="6"/>
      <c r="T110" s="6"/>
      <c r="U110" s="6" t="n">
        <v>1</v>
      </c>
      <c r="V110" s="6"/>
      <c r="W110" s="6"/>
      <c r="X110" s="6"/>
      <c r="Y110" s="6"/>
      <c r="Z110" s="6"/>
      <c r="AA110" s="6"/>
      <c r="AB110" s="6" t="n">
        <v>1</v>
      </c>
      <c r="AC110" s="6"/>
      <c r="AD110" s="6"/>
      <c r="AE110" s="6" t="n">
        <v>1</v>
      </c>
      <c r="AF110" s="6" t="n">
        <v>1</v>
      </c>
      <c r="AG110" s="6" t="n">
        <v>1</v>
      </c>
      <c r="AH110" s="6"/>
      <c r="AI110" s="6"/>
      <c r="AJ110" s="6"/>
    </row>
    <row r="111" customFormat="false" ht="15" hidden="false" customHeight="false" outlineLevel="0" collapsed="false">
      <c r="A111" s="6" t="s">
        <v>937</v>
      </c>
      <c r="B111" s="6" t="s">
        <v>938</v>
      </c>
      <c r="C111" s="6" t="n">
        <v>2021</v>
      </c>
      <c r="D111" s="6" t="s">
        <v>939</v>
      </c>
      <c r="E111" s="6" t="n">
        <v>1</v>
      </c>
      <c r="F111" s="6" t="s">
        <v>940</v>
      </c>
      <c r="G111" s="6" t="s">
        <v>387</v>
      </c>
      <c r="H111" s="6" t="s">
        <v>388</v>
      </c>
      <c r="I111" s="6"/>
      <c r="J111" s="6" t="s">
        <v>941</v>
      </c>
      <c r="K111" s="6" t="s">
        <v>47</v>
      </c>
      <c r="L111" s="6" t="s">
        <v>72</v>
      </c>
      <c r="M111" s="6" t="n">
        <v>12</v>
      </c>
      <c r="N111" s="6" t="s">
        <v>309</v>
      </c>
      <c r="O111" s="6"/>
      <c r="P111" s="6"/>
      <c r="Q111" s="6"/>
      <c r="R111" s="6"/>
      <c r="S111" s="6"/>
      <c r="T111" s="6"/>
      <c r="U111" s="6"/>
      <c r="V111" s="6"/>
      <c r="W111" s="6"/>
      <c r="X111" s="6"/>
      <c r="Y111" s="6"/>
      <c r="Z111" s="6"/>
      <c r="AA111" s="6"/>
      <c r="AB111" s="6"/>
      <c r="AC111" s="6"/>
      <c r="AD111" s="6"/>
      <c r="AE111" s="6"/>
      <c r="AF111" s="6"/>
      <c r="AG111" s="6" t="n">
        <v>1</v>
      </c>
      <c r="AH111" s="6"/>
      <c r="AI111" s="6"/>
      <c r="AJ111" s="6"/>
    </row>
    <row r="112" customFormat="false" ht="15" hidden="false" customHeight="false" outlineLevel="0" collapsed="false">
      <c r="A112" s="6" t="s">
        <v>942</v>
      </c>
      <c r="B112" s="6" t="s">
        <v>943</v>
      </c>
      <c r="C112" s="6" t="n">
        <v>2026</v>
      </c>
      <c r="D112" s="6" t="s">
        <v>944</v>
      </c>
      <c r="E112" s="6" t="n">
        <v>4</v>
      </c>
      <c r="F112" s="6" t="s">
        <v>945</v>
      </c>
      <c r="G112" s="6" t="s">
        <v>946</v>
      </c>
      <c r="H112" s="6" t="s">
        <v>628</v>
      </c>
      <c r="I112" s="6"/>
      <c r="J112" s="6" t="s">
        <v>947</v>
      </c>
      <c r="K112" s="6" t="s">
        <v>47</v>
      </c>
      <c r="L112" s="6" t="s">
        <v>74</v>
      </c>
      <c r="M112" s="6" t="n">
        <v>0</v>
      </c>
      <c r="N112" s="6" t="s">
        <v>300</v>
      </c>
      <c r="O112" s="6"/>
      <c r="P112" s="6"/>
      <c r="Q112" s="6" t="n">
        <v>1</v>
      </c>
      <c r="R112" s="6"/>
      <c r="S112" s="6" t="n">
        <v>1</v>
      </c>
      <c r="T112" s="6"/>
      <c r="U112" s="6" t="n">
        <v>1</v>
      </c>
      <c r="V112" s="6" t="n">
        <v>1</v>
      </c>
      <c r="W112" s="6" t="n">
        <v>1</v>
      </c>
      <c r="X112" s="6"/>
      <c r="Y112" s="6" t="n">
        <v>1</v>
      </c>
      <c r="Z112" s="6" t="n">
        <v>1</v>
      </c>
      <c r="AA112" s="6" t="n">
        <v>1</v>
      </c>
      <c r="AB112" s="6"/>
      <c r="AC112" s="6"/>
      <c r="AD112" s="6"/>
      <c r="AE112" s="6" t="n">
        <v>1</v>
      </c>
      <c r="AF112" s="6" t="n">
        <v>1</v>
      </c>
      <c r="AG112" s="6"/>
      <c r="AH112" s="6"/>
      <c r="AI112" s="6"/>
      <c r="AJ112" s="6" t="n">
        <v>1</v>
      </c>
    </row>
    <row r="113" customFormat="false" ht="15" hidden="false" customHeight="false" outlineLevel="0" collapsed="false">
      <c r="A113" s="6" t="s">
        <v>948</v>
      </c>
      <c r="B113" s="6"/>
      <c r="C113" s="6" t="n">
        <v>2026</v>
      </c>
      <c r="D113" s="6" t="s">
        <v>949</v>
      </c>
      <c r="E113" s="6" t="n">
        <v>3</v>
      </c>
      <c r="F113" s="6" t="s">
        <v>950</v>
      </c>
      <c r="G113" s="6" t="s">
        <v>951</v>
      </c>
      <c r="H113" s="6" t="s">
        <v>952</v>
      </c>
      <c r="I113" s="6" t="s">
        <v>307</v>
      </c>
      <c r="J113" s="6" t="s">
        <v>953</v>
      </c>
      <c r="K113" s="6" t="s">
        <v>48</v>
      </c>
      <c r="L113" s="6" t="s">
        <v>93</v>
      </c>
      <c r="M113" s="6" t="n">
        <v>0</v>
      </c>
      <c r="N113" s="6" t="s">
        <v>309</v>
      </c>
      <c r="O113" s="6"/>
      <c r="P113" s="6"/>
      <c r="Q113" s="6"/>
      <c r="R113" s="6" t="n">
        <v>1</v>
      </c>
      <c r="S113" s="6"/>
      <c r="T113" s="6" t="n">
        <v>1</v>
      </c>
      <c r="U113" s="6"/>
      <c r="V113" s="6"/>
      <c r="W113" s="6"/>
      <c r="X113" s="6"/>
      <c r="Y113" s="6"/>
      <c r="Z113" s="6" t="n">
        <v>1</v>
      </c>
      <c r="AA113" s="6" t="n">
        <v>1</v>
      </c>
      <c r="AB113" s="6"/>
      <c r="AC113" s="6"/>
      <c r="AD113" s="6"/>
      <c r="AE113" s="6"/>
      <c r="AF113" s="6"/>
      <c r="AG113" s="6"/>
      <c r="AH113" s="6"/>
      <c r="AI113" s="6"/>
      <c r="AJ113" s="6"/>
    </row>
    <row r="114" customFormat="false" ht="15" hidden="false" customHeight="false" outlineLevel="0" collapsed="false">
      <c r="A114" s="6" t="s">
        <v>954</v>
      </c>
      <c r="B114" s="6" t="s">
        <v>955</v>
      </c>
      <c r="C114" s="6" t="n">
        <v>2026</v>
      </c>
      <c r="D114" s="6" t="s">
        <v>956</v>
      </c>
      <c r="E114" s="6" t="n">
        <v>2</v>
      </c>
      <c r="F114" s="6" t="s">
        <v>957</v>
      </c>
      <c r="G114" s="6" t="s">
        <v>861</v>
      </c>
      <c r="H114" s="6"/>
      <c r="I114" s="6"/>
      <c r="J114" s="6" t="s">
        <v>958</v>
      </c>
      <c r="K114" s="6" t="s">
        <v>48</v>
      </c>
      <c r="L114" s="6" t="s">
        <v>74</v>
      </c>
      <c r="M114" s="6" t="n">
        <v>0</v>
      </c>
      <c r="N114" s="6" t="s">
        <v>300</v>
      </c>
      <c r="O114" s="6"/>
      <c r="P114" s="6" t="n">
        <v>1</v>
      </c>
      <c r="Q114" s="6"/>
      <c r="R114" s="6"/>
      <c r="S114" s="6"/>
      <c r="T114" s="6"/>
      <c r="U114" s="6" t="n">
        <v>1</v>
      </c>
      <c r="V114" s="6"/>
      <c r="W114" s="6" t="n">
        <v>1</v>
      </c>
      <c r="X114" s="6"/>
      <c r="Y114" s="6"/>
      <c r="Z114" s="6"/>
      <c r="AA114" s="6"/>
      <c r="AB114" s="6"/>
      <c r="AC114" s="6"/>
      <c r="AD114" s="6"/>
      <c r="AE114" s="6"/>
      <c r="AF114" s="6" t="n">
        <v>1</v>
      </c>
      <c r="AG114" s="6"/>
      <c r="AH114" s="6"/>
      <c r="AI114" s="6"/>
      <c r="AJ114" s="6"/>
    </row>
    <row r="115" customFormat="false" ht="15" hidden="false" customHeight="false" outlineLevel="0" collapsed="false">
      <c r="A115" s="6" t="s">
        <v>959</v>
      </c>
      <c r="B115" s="6" t="s">
        <v>960</v>
      </c>
      <c r="C115" s="6" t="n">
        <v>2020</v>
      </c>
      <c r="D115" s="6" t="s">
        <v>961</v>
      </c>
      <c r="E115" s="6" t="n">
        <v>3</v>
      </c>
      <c r="F115" s="6" t="s">
        <v>962</v>
      </c>
      <c r="G115" s="6" t="s">
        <v>963</v>
      </c>
      <c r="H115" s="6" t="s">
        <v>878</v>
      </c>
      <c r="I115" s="6" t="s">
        <v>316</v>
      </c>
      <c r="J115" s="6" t="s">
        <v>964</v>
      </c>
      <c r="K115" s="6" t="s">
        <v>47</v>
      </c>
      <c r="L115" s="6" t="s">
        <v>74</v>
      </c>
      <c r="M115" s="6" t="n">
        <v>36</v>
      </c>
      <c r="N115" s="6" t="s">
        <v>309</v>
      </c>
      <c r="O115" s="6" t="n">
        <v>1</v>
      </c>
      <c r="P115" s="6"/>
      <c r="Q115" s="6" t="n">
        <v>1</v>
      </c>
      <c r="R115" s="6" t="n">
        <v>1</v>
      </c>
      <c r="S115" s="6"/>
      <c r="T115" s="6"/>
      <c r="U115" s="6"/>
      <c r="V115" s="6"/>
      <c r="W115" s="6"/>
      <c r="X115" s="6"/>
      <c r="Y115" s="6"/>
      <c r="Z115" s="6"/>
      <c r="AA115" s="6"/>
      <c r="AB115" s="6" t="n">
        <v>1</v>
      </c>
      <c r="AC115" s="6"/>
      <c r="AD115" s="6"/>
      <c r="AE115" s="6" t="n">
        <v>1</v>
      </c>
      <c r="AF115" s="6"/>
      <c r="AG115" s="6"/>
      <c r="AH115" s="6"/>
      <c r="AI115" s="6"/>
      <c r="AJ115" s="6"/>
    </row>
    <row r="116" customFormat="false" ht="15" hidden="false" customHeight="false" outlineLevel="0" collapsed="false">
      <c r="A116" s="6" t="s">
        <v>965</v>
      </c>
      <c r="B116" s="6"/>
      <c r="C116" s="6" t="n">
        <v>2023</v>
      </c>
      <c r="D116" s="6" t="s">
        <v>966</v>
      </c>
      <c r="E116" s="6" t="n">
        <v>3</v>
      </c>
      <c r="F116" s="6" t="s">
        <v>967</v>
      </c>
      <c r="G116" s="6" t="s">
        <v>968</v>
      </c>
      <c r="H116" s="6" t="s">
        <v>969</v>
      </c>
      <c r="I116" s="6" t="s">
        <v>316</v>
      </c>
      <c r="J116" s="6" t="s">
        <v>970</v>
      </c>
      <c r="K116" s="6" t="s">
        <v>47</v>
      </c>
      <c r="L116" s="6" t="s">
        <v>78</v>
      </c>
      <c r="M116" s="6" t="n">
        <v>41</v>
      </c>
      <c r="N116" s="6" t="s">
        <v>309</v>
      </c>
      <c r="O116" s="6"/>
      <c r="P116" s="6"/>
      <c r="Q116" s="6" t="n">
        <v>1</v>
      </c>
      <c r="R116" s="6" t="n">
        <v>1</v>
      </c>
      <c r="S116" s="6"/>
      <c r="T116" s="6"/>
      <c r="U116" s="6"/>
      <c r="V116" s="6"/>
      <c r="W116" s="6" t="n">
        <v>1</v>
      </c>
      <c r="X116" s="6"/>
      <c r="Y116" s="6" t="n">
        <v>1</v>
      </c>
      <c r="Z116" s="6"/>
      <c r="AA116" s="6"/>
      <c r="AB116" s="6"/>
      <c r="AC116" s="6"/>
      <c r="AD116" s="6"/>
      <c r="AE116" s="6"/>
      <c r="AF116" s="6"/>
      <c r="AG116" s="6"/>
      <c r="AH116" s="6"/>
      <c r="AI116" s="6" t="n">
        <v>1</v>
      </c>
      <c r="AJ116" s="6"/>
    </row>
    <row r="117" customFormat="false" ht="15" hidden="false" customHeight="false" outlineLevel="0" collapsed="false">
      <c r="A117" s="6" t="s">
        <v>971</v>
      </c>
      <c r="B117" s="6" t="s">
        <v>972</v>
      </c>
      <c r="C117" s="6" t="n">
        <v>2017</v>
      </c>
      <c r="D117" s="6" t="s">
        <v>973</v>
      </c>
      <c r="E117" s="6" t="n">
        <v>8</v>
      </c>
      <c r="F117" s="6" t="s">
        <v>974</v>
      </c>
      <c r="G117" s="6" t="s">
        <v>535</v>
      </c>
      <c r="H117" s="6" t="s">
        <v>710</v>
      </c>
      <c r="I117" s="6" t="s">
        <v>298</v>
      </c>
      <c r="J117" s="6" t="s">
        <v>975</v>
      </c>
      <c r="K117" s="6" t="s">
        <v>47</v>
      </c>
      <c r="L117" s="6" t="s">
        <v>72</v>
      </c>
      <c r="M117" s="6" t="n">
        <v>10</v>
      </c>
      <c r="N117" s="6" t="s">
        <v>309</v>
      </c>
      <c r="O117" s="6"/>
      <c r="P117" s="6" t="n">
        <v>1</v>
      </c>
      <c r="Q117" s="6" t="n">
        <v>1</v>
      </c>
      <c r="R117" s="6"/>
      <c r="S117" s="6"/>
      <c r="T117" s="6"/>
      <c r="U117" s="6"/>
      <c r="V117" s="6"/>
      <c r="W117" s="6" t="n">
        <v>1</v>
      </c>
      <c r="X117" s="6"/>
      <c r="Y117" s="6" t="n">
        <v>1</v>
      </c>
      <c r="Z117" s="6" t="n">
        <v>1</v>
      </c>
      <c r="AA117" s="6"/>
      <c r="AB117" s="6"/>
      <c r="AC117" s="6"/>
      <c r="AD117" s="6"/>
      <c r="AE117" s="6" t="n">
        <v>1</v>
      </c>
      <c r="AF117" s="6"/>
      <c r="AG117" s="6"/>
      <c r="AH117" s="6"/>
      <c r="AI117" s="6"/>
      <c r="AJ117" s="6"/>
    </row>
    <row r="118" customFormat="false" ht="15" hidden="false" customHeight="false" outlineLevel="0" collapsed="false">
      <c r="A118" s="6" t="s">
        <v>976</v>
      </c>
      <c r="B118" s="6" t="s">
        <v>977</v>
      </c>
      <c r="C118" s="6" t="n">
        <v>2025</v>
      </c>
      <c r="D118" s="6" t="s">
        <v>978</v>
      </c>
      <c r="E118" s="6" t="n">
        <v>2</v>
      </c>
      <c r="F118" s="6" t="s">
        <v>979</v>
      </c>
      <c r="G118" s="6" t="s">
        <v>980</v>
      </c>
      <c r="H118" s="6" t="s">
        <v>666</v>
      </c>
      <c r="I118" s="6" t="s">
        <v>316</v>
      </c>
      <c r="J118" s="6" t="s">
        <v>981</v>
      </c>
      <c r="K118" s="6" t="s">
        <v>47</v>
      </c>
      <c r="L118" s="6" t="s">
        <v>72</v>
      </c>
      <c r="M118" s="6" t="n">
        <v>9</v>
      </c>
      <c r="N118" s="6" t="s">
        <v>309</v>
      </c>
      <c r="O118" s="6"/>
      <c r="P118" s="6"/>
      <c r="Q118" s="6" t="n">
        <v>1</v>
      </c>
      <c r="R118" s="6" t="n">
        <v>1</v>
      </c>
      <c r="S118" s="6"/>
      <c r="T118" s="6"/>
      <c r="U118" s="6"/>
      <c r="V118" s="6"/>
      <c r="W118" s="6"/>
      <c r="X118" s="6"/>
      <c r="Y118" s="6"/>
      <c r="Z118" s="6" t="n">
        <v>1</v>
      </c>
      <c r="AA118" s="6"/>
      <c r="AB118" s="6"/>
      <c r="AC118" s="6"/>
      <c r="AD118" s="6" t="n">
        <v>1</v>
      </c>
      <c r="AE118" s="6" t="n">
        <v>1</v>
      </c>
      <c r="AF118" s="6"/>
      <c r="AG118" s="6"/>
      <c r="AH118" s="6"/>
      <c r="AI118" s="6"/>
      <c r="AJ118" s="6"/>
    </row>
    <row r="119" customFormat="false" ht="15" hidden="false" customHeight="false" outlineLevel="0" collapsed="false">
      <c r="A119" s="6" t="s">
        <v>982</v>
      </c>
      <c r="B119" s="6" t="s">
        <v>983</v>
      </c>
      <c r="C119" s="6" t="n">
        <v>2021</v>
      </c>
      <c r="D119" s="6" t="s">
        <v>984</v>
      </c>
      <c r="E119" s="6" t="n">
        <v>4</v>
      </c>
      <c r="F119" s="6" t="s">
        <v>985</v>
      </c>
      <c r="G119" s="6" t="s">
        <v>314</v>
      </c>
      <c r="H119" s="6" t="s">
        <v>315</v>
      </c>
      <c r="I119" s="6" t="s">
        <v>316</v>
      </c>
      <c r="J119" s="6" t="s">
        <v>986</v>
      </c>
      <c r="K119" s="6" t="s">
        <v>47</v>
      </c>
      <c r="L119" s="6" t="s">
        <v>72</v>
      </c>
      <c r="M119" s="6" t="n">
        <v>7</v>
      </c>
      <c r="N119" s="6" t="s">
        <v>309</v>
      </c>
      <c r="O119" s="6"/>
      <c r="P119" s="6"/>
      <c r="Q119" s="6" t="n">
        <v>1</v>
      </c>
      <c r="R119" s="6" t="n">
        <v>1</v>
      </c>
      <c r="S119" s="6"/>
      <c r="T119" s="6"/>
      <c r="U119" s="6" t="n">
        <v>1</v>
      </c>
      <c r="V119" s="6" t="n">
        <v>1</v>
      </c>
      <c r="W119" s="6"/>
      <c r="X119" s="6"/>
      <c r="Y119" s="6"/>
      <c r="Z119" s="6"/>
      <c r="AA119" s="6"/>
      <c r="AB119" s="6"/>
      <c r="AC119" s="6"/>
      <c r="AD119" s="6"/>
      <c r="AE119" s="6"/>
      <c r="AF119" s="6"/>
      <c r="AG119" s="6"/>
      <c r="AH119" s="6"/>
      <c r="AI119" s="6"/>
      <c r="AJ119" s="6"/>
    </row>
    <row r="120" customFormat="false" ht="15" hidden="false" customHeight="false" outlineLevel="0" collapsed="false">
      <c r="A120" s="6" t="s">
        <v>987</v>
      </c>
      <c r="B120" s="6" t="s">
        <v>988</v>
      </c>
      <c r="C120" s="6" t="n">
        <v>2025</v>
      </c>
      <c r="D120" s="6" t="s">
        <v>989</v>
      </c>
      <c r="E120" s="6" t="n">
        <v>2</v>
      </c>
      <c r="F120" s="6" t="s">
        <v>990</v>
      </c>
      <c r="G120" s="6" t="s">
        <v>507</v>
      </c>
      <c r="H120" s="6"/>
      <c r="I120" s="6"/>
      <c r="J120" s="6"/>
      <c r="K120" s="6" t="s">
        <v>47</v>
      </c>
      <c r="L120" s="6" t="s">
        <v>72</v>
      </c>
      <c r="M120" s="6" t="n">
        <v>14</v>
      </c>
      <c r="N120" s="6" t="s">
        <v>309</v>
      </c>
      <c r="O120" s="6"/>
      <c r="P120" s="6"/>
      <c r="Q120" s="6"/>
      <c r="R120" s="6"/>
      <c r="S120" s="6"/>
      <c r="T120" s="6"/>
      <c r="U120" s="6"/>
      <c r="V120" s="6"/>
      <c r="W120" s="6"/>
      <c r="X120" s="6"/>
      <c r="Y120" s="6"/>
      <c r="Z120" s="6" t="n">
        <v>1</v>
      </c>
      <c r="AA120" s="6"/>
      <c r="AB120" s="6"/>
      <c r="AC120" s="6" t="n">
        <v>1</v>
      </c>
      <c r="AD120" s="6"/>
      <c r="AE120" s="6"/>
      <c r="AF120" s="6" t="n">
        <v>1</v>
      </c>
      <c r="AG120" s="6"/>
      <c r="AH120" s="6"/>
      <c r="AI120" s="6"/>
      <c r="AJ120" s="6"/>
    </row>
    <row r="121" customFormat="false" ht="15" hidden="false" customHeight="false" outlineLevel="0" collapsed="false">
      <c r="A121" s="6" t="s">
        <v>991</v>
      </c>
      <c r="B121" s="6" t="s">
        <v>992</v>
      </c>
      <c r="C121" s="6" t="n">
        <v>2018</v>
      </c>
      <c r="D121" s="6" t="s">
        <v>993</v>
      </c>
      <c r="E121" s="6" t="n">
        <v>1</v>
      </c>
      <c r="F121" s="6" t="s">
        <v>994</v>
      </c>
      <c r="G121" s="6" t="s">
        <v>660</v>
      </c>
      <c r="H121" s="6" t="s">
        <v>750</v>
      </c>
      <c r="I121" s="6" t="s">
        <v>316</v>
      </c>
      <c r="J121" s="6" t="s">
        <v>995</v>
      </c>
      <c r="K121" s="6" t="s">
        <v>47</v>
      </c>
      <c r="L121" s="6" t="s">
        <v>72</v>
      </c>
      <c r="M121" s="6" t="n">
        <v>19</v>
      </c>
      <c r="N121" s="6" t="s">
        <v>309</v>
      </c>
      <c r="O121" s="6"/>
      <c r="P121" s="6"/>
      <c r="Q121" s="6"/>
      <c r="R121" s="6"/>
      <c r="S121" s="6"/>
      <c r="T121" s="6"/>
      <c r="U121" s="6"/>
      <c r="V121" s="6"/>
      <c r="W121" s="6"/>
      <c r="X121" s="6"/>
      <c r="Y121" s="6" t="n">
        <v>1</v>
      </c>
      <c r="Z121" s="6"/>
      <c r="AA121" s="6"/>
      <c r="AB121" s="6"/>
      <c r="AC121" s="6"/>
      <c r="AD121" s="6" t="n">
        <v>1</v>
      </c>
      <c r="AE121" s="6"/>
      <c r="AF121" s="6"/>
      <c r="AG121" s="6"/>
      <c r="AH121" s="6"/>
      <c r="AI121" s="6"/>
      <c r="AJ121" s="6"/>
    </row>
    <row r="122" customFormat="false" ht="15" hidden="false" customHeight="false" outlineLevel="0" collapsed="false">
      <c r="A122" s="6" t="s">
        <v>996</v>
      </c>
      <c r="B122" s="6" t="s">
        <v>997</v>
      </c>
      <c r="C122" s="6" t="n">
        <v>2026</v>
      </c>
      <c r="D122" s="6" t="s">
        <v>998</v>
      </c>
      <c r="E122" s="6" t="n">
        <v>2</v>
      </c>
      <c r="F122" s="6" t="s">
        <v>999</v>
      </c>
      <c r="G122" s="6" t="s">
        <v>566</v>
      </c>
      <c r="H122" s="6" t="s">
        <v>1000</v>
      </c>
      <c r="I122" s="6"/>
      <c r="J122" s="6" t="s">
        <v>1001</v>
      </c>
      <c r="K122" s="6" t="s">
        <v>47</v>
      </c>
      <c r="L122" s="6" t="s">
        <v>84</v>
      </c>
      <c r="M122" s="6" t="n">
        <v>4</v>
      </c>
      <c r="N122" s="6" t="s">
        <v>309</v>
      </c>
      <c r="O122" s="6"/>
      <c r="P122" s="6"/>
      <c r="Q122" s="6"/>
      <c r="R122" s="6" t="n">
        <v>1</v>
      </c>
      <c r="S122" s="6" t="n">
        <v>1</v>
      </c>
      <c r="T122" s="6" t="n">
        <v>1</v>
      </c>
      <c r="U122" s="6"/>
      <c r="V122" s="6"/>
      <c r="W122" s="6"/>
      <c r="X122" s="6" t="n">
        <v>1</v>
      </c>
      <c r="Y122" s="6" t="n">
        <v>1</v>
      </c>
      <c r="Z122" s="6"/>
      <c r="AA122" s="6"/>
      <c r="AB122" s="6"/>
      <c r="AC122" s="6"/>
      <c r="AD122" s="6"/>
      <c r="AE122" s="6"/>
      <c r="AF122" s="6"/>
      <c r="AG122" s="6"/>
      <c r="AH122" s="6"/>
      <c r="AI122" s="6"/>
      <c r="AJ122" s="6"/>
    </row>
    <row r="123" customFormat="false" ht="15" hidden="false" customHeight="false" outlineLevel="0" collapsed="false">
      <c r="A123" s="6" t="s">
        <v>1002</v>
      </c>
      <c r="B123" s="6" t="s">
        <v>269</v>
      </c>
      <c r="C123" s="6" t="n">
        <v>2021</v>
      </c>
      <c r="D123" s="6" t="s">
        <v>1003</v>
      </c>
      <c r="E123" s="6" t="n">
        <v>2</v>
      </c>
      <c r="F123" s="6" t="s">
        <v>268</v>
      </c>
      <c r="G123" s="6" t="s">
        <v>267</v>
      </c>
      <c r="H123" s="6" t="s">
        <v>604</v>
      </c>
      <c r="I123" s="6"/>
      <c r="J123" s="6" t="s">
        <v>1004</v>
      </c>
      <c r="K123" s="6" t="s">
        <v>47</v>
      </c>
      <c r="L123" s="6" t="s">
        <v>78</v>
      </c>
      <c r="M123" s="6" t="n">
        <v>44</v>
      </c>
      <c r="N123" s="6" t="s">
        <v>309</v>
      </c>
      <c r="O123" s="6"/>
      <c r="P123" s="6"/>
      <c r="Q123" s="6" t="n">
        <v>1</v>
      </c>
      <c r="R123" s="6"/>
      <c r="S123" s="6"/>
      <c r="T123" s="6"/>
      <c r="U123" s="6" t="n">
        <v>1</v>
      </c>
      <c r="V123" s="6"/>
      <c r="W123" s="6"/>
      <c r="X123" s="6"/>
      <c r="Y123" s="6"/>
      <c r="Z123" s="6"/>
      <c r="AA123" s="6"/>
      <c r="AB123" s="6"/>
      <c r="AC123" s="6"/>
      <c r="AD123" s="6" t="n">
        <v>1</v>
      </c>
      <c r="AE123" s="6" t="n">
        <v>1</v>
      </c>
      <c r="AF123" s="6"/>
      <c r="AG123" s="6"/>
      <c r="AH123" s="6"/>
      <c r="AI123" s="6"/>
      <c r="AJ123" s="6"/>
    </row>
    <row r="124" customFormat="false" ht="15" hidden="false" customHeight="false" outlineLevel="0" collapsed="false">
      <c r="A124" s="6" t="s">
        <v>1005</v>
      </c>
      <c r="B124" s="6" t="s">
        <v>257</v>
      </c>
      <c r="C124" s="6" t="n">
        <v>2018</v>
      </c>
      <c r="D124" s="6" t="s">
        <v>1006</v>
      </c>
      <c r="E124" s="6" t="n">
        <v>1</v>
      </c>
      <c r="F124" s="6" t="s">
        <v>256</v>
      </c>
      <c r="G124" s="6" t="s">
        <v>255</v>
      </c>
      <c r="H124" s="6" t="s">
        <v>455</v>
      </c>
      <c r="I124" s="6" t="s">
        <v>316</v>
      </c>
      <c r="J124" s="6" t="s">
        <v>1007</v>
      </c>
      <c r="K124" s="6" t="s">
        <v>47</v>
      </c>
      <c r="L124" s="6" t="s">
        <v>72</v>
      </c>
      <c r="M124" s="6" t="n">
        <v>49</v>
      </c>
      <c r="N124" s="6" t="s">
        <v>309</v>
      </c>
      <c r="O124" s="6"/>
      <c r="P124" s="6"/>
      <c r="Q124" s="6" t="n">
        <v>1</v>
      </c>
      <c r="R124" s="6"/>
      <c r="S124" s="6"/>
      <c r="T124" s="6"/>
      <c r="U124" s="6"/>
      <c r="V124" s="6"/>
      <c r="W124" s="6"/>
      <c r="X124" s="6"/>
      <c r="Y124" s="6" t="n">
        <v>1</v>
      </c>
      <c r="Z124" s="6" t="n">
        <v>1</v>
      </c>
      <c r="AA124" s="6"/>
      <c r="AB124" s="6"/>
      <c r="AC124" s="6"/>
      <c r="AD124" s="6"/>
      <c r="AE124" s="6" t="n">
        <v>1</v>
      </c>
      <c r="AF124" s="6"/>
      <c r="AG124" s="6"/>
      <c r="AH124" s="6"/>
      <c r="AI124" s="6"/>
      <c r="AJ124" s="6"/>
    </row>
    <row r="125" customFormat="false" ht="15" hidden="false" customHeight="false" outlineLevel="0" collapsed="false">
      <c r="A125" s="6" t="s">
        <v>1008</v>
      </c>
      <c r="B125" s="6" t="s">
        <v>1009</v>
      </c>
      <c r="C125" s="6" t="n">
        <v>2024</v>
      </c>
      <c r="D125" s="6" t="s">
        <v>1010</v>
      </c>
      <c r="E125" s="6" t="n">
        <v>1</v>
      </c>
      <c r="F125" s="6" t="s">
        <v>1011</v>
      </c>
      <c r="G125" s="6" t="s">
        <v>660</v>
      </c>
      <c r="H125" s="6" t="s">
        <v>1012</v>
      </c>
      <c r="I125" s="6" t="s">
        <v>324</v>
      </c>
      <c r="J125" s="6" t="s">
        <v>1013</v>
      </c>
      <c r="K125" s="6" t="s">
        <v>47</v>
      </c>
      <c r="L125" s="6" t="s">
        <v>72</v>
      </c>
      <c r="M125" s="6" t="n">
        <v>39</v>
      </c>
      <c r="N125" s="6" t="s">
        <v>309</v>
      </c>
      <c r="O125" s="6"/>
      <c r="P125" s="6" t="n">
        <v>1</v>
      </c>
      <c r="Q125" s="6"/>
      <c r="R125" s="6"/>
      <c r="S125" s="6"/>
      <c r="T125" s="6"/>
      <c r="U125" s="6" t="n">
        <v>1</v>
      </c>
      <c r="V125" s="6"/>
      <c r="W125" s="6"/>
      <c r="X125" s="6"/>
      <c r="Y125" s="6"/>
      <c r="Z125" s="6" t="n">
        <v>1</v>
      </c>
      <c r="AA125" s="6"/>
      <c r="AB125" s="6" t="n">
        <v>1</v>
      </c>
      <c r="AC125" s="6" t="n">
        <v>1</v>
      </c>
      <c r="AD125" s="6"/>
      <c r="AE125" s="6"/>
      <c r="AF125" s="6" t="n">
        <v>1</v>
      </c>
      <c r="AG125" s="6"/>
      <c r="AH125" s="6"/>
      <c r="AI125" s="6"/>
      <c r="AJ125" s="6"/>
    </row>
    <row r="126" customFormat="false" ht="15" hidden="false" customHeight="false" outlineLevel="0" collapsed="false">
      <c r="A126" s="6" t="s">
        <v>1014</v>
      </c>
      <c r="B126" s="6" t="s">
        <v>1015</v>
      </c>
      <c r="C126" s="6" t="n">
        <v>2026</v>
      </c>
      <c r="D126" s="6" t="s">
        <v>1016</v>
      </c>
      <c r="E126" s="6" t="n">
        <v>2</v>
      </c>
      <c r="F126" s="6" t="s">
        <v>1017</v>
      </c>
      <c r="G126" s="6" t="s">
        <v>1018</v>
      </c>
      <c r="H126" s="6"/>
      <c r="I126" s="6"/>
      <c r="J126" s="6"/>
      <c r="K126" s="6" t="s">
        <v>47</v>
      </c>
      <c r="L126" s="6" t="s">
        <v>86</v>
      </c>
      <c r="M126" s="6" t="n">
        <v>0</v>
      </c>
      <c r="N126" s="6" t="s">
        <v>309</v>
      </c>
      <c r="O126" s="6"/>
      <c r="P126" s="6" t="n">
        <v>1</v>
      </c>
      <c r="Q126" s="6"/>
      <c r="R126" s="6"/>
      <c r="S126" s="6"/>
      <c r="T126" s="6"/>
      <c r="U126" s="6"/>
      <c r="V126" s="6" t="n">
        <v>1</v>
      </c>
      <c r="W126" s="6"/>
      <c r="X126" s="6"/>
      <c r="Y126" s="6"/>
      <c r="Z126" s="6"/>
      <c r="AA126" s="6"/>
      <c r="AB126" s="6" t="n">
        <v>1</v>
      </c>
      <c r="AC126" s="6"/>
      <c r="AD126" s="6"/>
      <c r="AE126" s="6"/>
      <c r="AF126" s="6"/>
      <c r="AG126" s="6"/>
      <c r="AH126" s="6"/>
      <c r="AI126" s="6"/>
      <c r="AJ126" s="6"/>
    </row>
    <row r="127" customFormat="false" ht="15" hidden="false" customHeight="false" outlineLevel="0" collapsed="false">
      <c r="A127" s="6" t="s">
        <v>1019</v>
      </c>
      <c r="B127" s="6" t="s">
        <v>1020</v>
      </c>
      <c r="C127" s="6" t="n">
        <v>2025</v>
      </c>
      <c r="D127" s="6" t="s">
        <v>1021</v>
      </c>
      <c r="E127" s="6" t="n">
        <v>2</v>
      </c>
      <c r="F127" s="6" t="s">
        <v>1022</v>
      </c>
      <c r="G127" s="6" t="s">
        <v>1023</v>
      </c>
      <c r="H127" s="6" t="s">
        <v>345</v>
      </c>
      <c r="I127" s="6" t="s">
        <v>316</v>
      </c>
      <c r="J127" s="6" t="s">
        <v>1024</v>
      </c>
      <c r="K127" s="6" t="s">
        <v>47</v>
      </c>
      <c r="L127" s="6" t="s">
        <v>94</v>
      </c>
      <c r="M127" s="6" t="n">
        <v>6</v>
      </c>
      <c r="N127" s="6" t="s">
        <v>300</v>
      </c>
      <c r="O127" s="6"/>
      <c r="P127" s="6"/>
      <c r="Q127" s="6" t="n">
        <v>1</v>
      </c>
      <c r="R127" s="6"/>
      <c r="S127" s="6"/>
      <c r="T127" s="6"/>
      <c r="U127" s="6" t="n">
        <v>1</v>
      </c>
      <c r="V127" s="6" t="n">
        <v>1</v>
      </c>
      <c r="W127" s="6" t="n">
        <v>1</v>
      </c>
      <c r="X127" s="6"/>
      <c r="Y127" s="6"/>
      <c r="Z127" s="6"/>
      <c r="AA127" s="6"/>
      <c r="AB127" s="6"/>
      <c r="AC127" s="6" t="n">
        <v>1</v>
      </c>
      <c r="AD127" s="6"/>
      <c r="AE127" s="6"/>
      <c r="AF127" s="6"/>
      <c r="AG127" s="6"/>
      <c r="AH127" s="6"/>
      <c r="AI127" s="6" t="n">
        <v>1</v>
      </c>
      <c r="AJ127" s="6"/>
    </row>
    <row r="128" customFormat="false" ht="15" hidden="false" customHeight="false" outlineLevel="0" collapsed="false">
      <c r="A128" s="6" t="s">
        <v>1025</v>
      </c>
      <c r="B128" s="6" t="s">
        <v>1026</v>
      </c>
      <c r="C128" s="6" t="n">
        <v>2018</v>
      </c>
      <c r="D128" s="6" t="s">
        <v>1027</v>
      </c>
      <c r="E128" s="6" t="n">
        <v>2</v>
      </c>
      <c r="F128" s="6" t="s">
        <v>1028</v>
      </c>
      <c r="G128" s="6" t="s">
        <v>535</v>
      </c>
      <c r="H128" s="6" t="s">
        <v>388</v>
      </c>
      <c r="I128" s="6" t="s">
        <v>361</v>
      </c>
      <c r="J128" s="6" t="s">
        <v>1029</v>
      </c>
      <c r="K128" s="6" t="s">
        <v>47</v>
      </c>
      <c r="L128" s="6" t="s">
        <v>82</v>
      </c>
      <c r="M128" s="6" t="n">
        <v>32</v>
      </c>
      <c r="N128" s="6" t="s">
        <v>300</v>
      </c>
      <c r="O128" s="6"/>
      <c r="P128" s="6" t="n">
        <v>1</v>
      </c>
      <c r="Q128" s="6"/>
      <c r="R128" s="6"/>
      <c r="S128" s="6"/>
      <c r="T128" s="6"/>
      <c r="U128" s="6"/>
      <c r="V128" s="6"/>
      <c r="W128" s="6"/>
      <c r="X128" s="6"/>
      <c r="Y128" s="6"/>
      <c r="Z128" s="6" t="n">
        <v>1</v>
      </c>
      <c r="AA128" s="6"/>
      <c r="AB128" s="6" t="n">
        <v>1</v>
      </c>
      <c r="AC128" s="6"/>
      <c r="AD128" s="6"/>
      <c r="AE128" s="6"/>
      <c r="AF128" s="6"/>
      <c r="AG128" s="6"/>
      <c r="AH128" s="6"/>
      <c r="AI128" s="6"/>
      <c r="AJ128" s="6"/>
    </row>
    <row r="129" customFormat="false" ht="15" hidden="false" customHeight="false" outlineLevel="0" collapsed="false">
      <c r="A129" s="6" t="s">
        <v>1030</v>
      </c>
      <c r="B129" s="6" t="s">
        <v>1031</v>
      </c>
      <c r="C129" s="6" t="n">
        <v>2024</v>
      </c>
      <c r="D129" s="6" t="s">
        <v>1032</v>
      </c>
      <c r="E129" s="6" t="n">
        <v>1</v>
      </c>
      <c r="F129" s="6" t="s">
        <v>1033</v>
      </c>
      <c r="G129" s="6" t="s">
        <v>387</v>
      </c>
      <c r="H129" s="6" t="s">
        <v>1034</v>
      </c>
      <c r="I129" s="6"/>
      <c r="J129" s="6" t="s">
        <v>1035</v>
      </c>
      <c r="K129" s="6" t="s">
        <v>47</v>
      </c>
      <c r="L129" s="6" t="s">
        <v>82</v>
      </c>
      <c r="M129" s="6" t="n">
        <v>24</v>
      </c>
      <c r="N129" s="6" t="s">
        <v>300</v>
      </c>
      <c r="O129" s="6"/>
      <c r="P129" s="6"/>
      <c r="Q129" s="6"/>
      <c r="R129" s="6"/>
      <c r="S129" s="6"/>
      <c r="T129" s="6"/>
      <c r="U129" s="6"/>
      <c r="V129" s="6"/>
      <c r="W129" s="6"/>
      <c r="X129" s="6"/>
      <c r="Y129" s="6"/>
      <c r="Z129" s="6"/>
      <c r="AA129" s="6"/>
      <c r="AB129" s="6"/>
      <c r="AC129" s="6" t="n">
        <v>1</v>
      </c>
      <c r="AD129" s="6"/>
      <c r="AE129" s="6"/>
      <c r="AF129" s="6"/>
      <c r="AG129" s="6"/>
      <c r="AH129" s="6"/>
      <c r="AI129" s="6"/>
      <c r="AJ129" s="6"/>
    </row>
    <row r="130" customFormat="false" ht="15" hidden="false" customHeight="false" outlineLevel="0" collapsed="false">
      <c r="A130" s="6" t="s">
        <v>1036</v>
      </c>
      <c r="B130" s="6" t="s">
        <v>1037</v>
      </c>
      <c r="C130" s="6" t="n">
        <v>2022</v>
      </c>
      <c r="D130" s="6" t="s">
        <v>1038</v>
      </c>
      <c r="E130" s="6" t="n">
        <v>4</v>
      </c>
      <c r="F130" s="6" t="s">
        <v>1039</v>
      </c>
      <c r="G130" s="6" t="s">
        <v>1040</v>
      </c>
      <c r="H130" s="6" t="s">
        <v>345</v>
      </c>
      <c r="I130" s="6" t="s">
        <v>353</v>
      </c>
      <c r="J130" s="6" t="s">
        <v>1041</v>
      </c>
      <c r="K130" s="6" t="s">
        <v>47</v>
      </c>
      <c r="L130" s="6" t="s">
        <v>74</v>
      </c>
      <c r="M130" s="6" t="n">
        <v>36</v>
      </c>
      <c r="N130" s="6" t="s">
        <v>309</v>
      </c>
      <c r="O130" s="6"/>
      <c r="P130" s="6"/>
      <c r="Q130" s="6"/>
      <c r="R130" s="6" t="n">
        <v>1</v>
      </c>
      <c r="S130" s="6"/>
      <c r="T130" s="6"/>
      <c r="U130" s="6"/>
      <c r="V130" s="6"/>
      <c r="W130" s="6"/>
      <c r="X130" s="6"/>
      <c r="Y130" s="6"/>
      <c r="Z130" s="6"/>
      <c r="AA130" s="6" t="n">
        <v>1</v>
      </c>
      <c r="AB130" s="6"/>
      <c r="AC130" s="6"/>
      <c r="AD130" s="6"/>
      <c r="AE130" s="6"/>
      <c r="AF130" s="6"/>
      <c r="AG130" s="6"/>
      <c r="AH130" s="6"/>
      <c r="AI130" s="6"/>
      <c r="AJ130" s="6"/>
    </row>
    <row r="131" customFormat="false" ht="15" hidden="false" customHeight="false" outlineLevel="0" collapsed="false">
      <c r="A131" s="6" t="s">
        <v>1042</v>
      </c>
      <c r="B131" s="6" t="s">
        <v>1043</v>
      </c>
      <c r="C131" s="6" t="n">
        <v>2026</v>
      </c>
      <c r="D131" s="6" t="s">
        <v>1044</v>
      </c>
      <c r="E131" s="6" t="n">
        <v>1</v>
      </c>
      <c r="F131" s="6" t="s">
        <v>1045</v>
      </c>
      <c r="G131" s="6" t="s">
        <v>1046</v>
      </c>
      <c r="H131" s="6"/>
      <c r="I131" s="6"/>
      <c r="J131" s="6"/>
      <c r="K131" s="6" t="s">
        <v>47</v>
      </c>
      <c r="L131" s="6" t="s">
        <v>88</v>
      </c>
      <c r="M131" s="6" t="n">
        <v>0</v>
      </c>
      <c r="N131" s="6" t="s">
        <v>300</v>
      </c>
      <c r="O131" s="6"/>
      <c r="P131" s="6"/>
      <c r="Q131" s="6" t="n">
        <v>1</v>
      </c>
      <c r="R131" s="6"/>
      <c r="S131" s="6" t="n">
        <v>1</v>
      </c>
      <c r="T131" s="6"/>
      <c r="U131" s="6" t="n">
        <v>1</v>
      </c>
      <c r="V131" s="6"/>
      <c r="W131" s="6"/>
      <c r="X131" s="6"/>
      <c r="Y131" s="6"/>
      <c r="Z131" s="6"/>
      <c r="AA131" s="6"/>
      <c r="AB131" s="6" t="n">
        <v>1</v>
      </c>
      <c r="AC131" s="6" t="n">
        <v>1</v>
      </c>
      <c r="AD131" s="6"/>
      <c r="AE131" s="6"/>
      <c r="AF131" s="6" t="n">
        <v>1</v>
      </c>
      <c r="AG131" s="6"/>
      <c r="AH131" s="6"/>
      <c r="AI131" s="6"/>
      <c r="AJ131" s="6"/>
    </row>
    <row r="132" customFormat="false" ht="15" hidden="false" customHeight="false" outlineLevel="0" collapsed="false">
      <c r="A132" s="6" t="s">
        <v>1047</v>
      </c>
      <c r="B132" s="6" t="s">
        <v>1048</v>
      </c>
      <c r="C132" s="6" t="n">
        <v>2026</v>
      </c>
      <c r="D132" s="6" t="s">
        <v>1049</v>
      </c>
      <c r="E132" s="6" t="n">
        <v>2</v>
      </c>
      <c r="F132" s="6" t="s">
        <v>1050</v>
      </c>
      <c r="G132" s="6" t="s">
        <v>703</v>
      </c>
      <c r="H132" s="6" t="s">
        <v>1051</v>
      </c>
      <c r="I132" s="6"/>
      <c r="J132" s="6" t="s">
        <v>1052</v>
      </c>
      <c r="K132" s="6" t="s">
        <v>47</v>
      </c>
      <c r="L132" s="6" t="s">
        <v>85</v>
      </c>
      <c r="M132" s="6" t="n">
        <v>1</v>
      </c>
      <c r="N132" s="6" t="s">
        <v>309</v>
      </c>
      <c r="O132" s="6"/>
      <c r="P132" s="6"/>
      <c r="Q132" s="6" t="n">
        <v>1</v>
      </c>
      <c r="R132" s="6"/>
      <c r="S132" s="6"/>
      <c r="T132" s="6"/>
      <c r="U132" s="6" t="n">
        <v>1</v>
      </c>
      <c r="V132" s="6"/>
      <c r="W132" s="6" t="n">
        <v>1</v>
      </c>
      <c r="X132" s="6"/>
      <c r="Y132" s="6" t="n">
        <v>1</v>
      </c>
      <c r="Z132" s="6"/>
      <c r="AA132" s="6"/>
      <c r="AB132" s="6"/>
      <c r="AC132" s="6"/>
      <c r="AD132" s="6"/>
      <c r="AE132" s="6"/>
      <c r="AF132" s="6" t="n">
        <v>1</v>
      </c>
      <c r="AG132" s="6"/>
      <c r="AH132" s="6"/>
      <c r="AI132" s="6"/>
      <c r="AJ132" s="6"/>
    </row>
    <row r="133" customFormat="false" ht="15" hidden="false" customHeight="false" outlineLevel="0" collapsed="false">
      <c r="A133" s="6" t="s">
        <v>1053</v>
      </c>
      <c r="B133" s="6" t="s">
        <v>1054</v>
      </c>
      <c r="C133" s="6" t="n">
        <v>2019</v>
      </c>
      <c r="D133" s="6" t="s">
        <v>1055</v>
      </c>
      <c r="E133" s="6" t="n">
        <v>1</v>
      </c>
      <c r="F133" s="6" t="s">
        <v>1056</v>
      </c>
      <c r="G133" s="6" t="s">
        <v>1057</v>
      </c>
      <c r="H133" s="6" t="s">
        <v>415</v>
      </c>
      <c r="I133" s="6" t="s">
        <v>1058</v>
      </c>
      <c r="J133" s="6" t="s">
        <v>1059</v>
      </c>
      <c r="K133" s="6" t="s">
        <v>47</v>
      </c>
      <c r="L133" s="6" t="s">
        <v>76</v>
      </c>
      <c r="M133" s="6" t="n">
        <v>22</v>
      </c>
      <c r="N133" s="6" t="s">
        <v>300</v>
      </c>
      <c r="O133" s="6" t="n">
        <v>1</v>
      </c>
      <c r="P133" s="6"/>
      <c r="Q133" s="6"/>
      <c r="R133" s="6" t="n">
        <v>1</v>
      </c>
      <c r="S133" s="6"/>
      <c r="T133" s="6"/>
      <c r="U133" s="6" t="n">
        <v>1</v>
      </c>
      <c r="V133" s="6" t="n">
        <v>1</v>
      </c>
      <c r="W133" s="6"/>
      <c r="X133" s="6"/>
      <c r="Y133" s="6" t="n">
        <v>1</v>
      </c>
      <c r="Z133" s="6"/>
      <c r="AA133" s="6"/>
      <c r="AB133" s="6"/>
      <c r="AC133" s="6"/>
      <c r="AD133" s="6"/>
      <c r="AE133" s="6"/>
      <c r="AF133" s="6"/>
      <c r="AG133" s="6"/>
      <c r="AH133" s="6"/>
      <c r="AI133" s="6"/>
      <c r="AJ133" s="6" t="n">
        <v>1</v>
      </c>
    </row>
    <row r="134" customFormat="false" ht="15" hidden="false" customHeight="false" outlineLevel="0" collapsed="false">
      <c r="A134" s="6" t="s">
        <v>1060</v>
      </c>
      <c r="B134" s="6" t="s">
        <v>1061</v>
      </c>
      <c r="C134" s="6" t="n">
        <v>2026</v>
      </c>
      <c r="D134" s="6" t="s">
        <v>1062</v>
      </c>
      <c r="E134" s="6" t="n">
        <v>2</v>
      </c>
      <c r="F134" s="6" t="s">
        <v>1063</v>
      </c>
      <c r="G134" s="6" t="s">
        <v>247</v>
      </c>
      <c r="H134" s="6" t="s">
        <v>761</v>
      </c>
      <c r="I134" s="6"/>
      <c r="J134" s="6" t="s">
        <v>1064</v>
      </c>
      <c r="K134" s="6" t="s">
        <v>47</v>
      </c>
      <c r="L134" s="6" t="s">
        <v>87</v>
      </c>
      <c r="M134" s="6" t="n">
        <v>5</v>
      </c>
      <c r="N134" s="6" t="s">
        <v>309</v>
      </c>
      <c r="O134" s="6"/>
      <c r="P134" s="6"/>
      <c r="Q134" s="6" t="n">
        <v>1</v>
      </c>
      <c r="R134" s="6"/>
      <c r="S134" s="6"/>
      <c r="T134" s="6"/>
      <c r="U134" s="6"/>
      <c r="V134" s="6" t="n">
        <v>1</v>
      </c>
      <c r="W134" s="6"/>
      <c r="X134" s="6"/>
      <c r="Y134" s="6"/>
      <c r="Z134" s="6" t="n">
        <v>1</v>
      </c>
      <c r="AA134" s="6"/>
      <c r="AB134" s="6"/>
      <c r="AC134" s="6" t="n">
        <v>1</v>
      </c>
      <c r="AD134" s="6"/>
      <c r="AE134" s="6"/>
      <c r="AF134" s="6"/>
      <c r="AG134" s="6"/>
      <c r="AH134" s="6"/>
      <c r="AI134" s="6"/>
      <c r="AJ134" s="6"/>
    </row>
    <row r="135" customFormat="false" ht="15" hidden="false" customHeight="false" outlineLevel="0" collapsed="false">
      <c r="A135" s="6" t="s">
        <v>1065</v>
      </c>
      <c r="B135" s="6" t="s">
        <v>1066</v>
      </c>
      <c r="C135" s="6" t="n">
        <v>2026</v>
      </c>
      <c r="D135" s="6" t="s">
        <v>1067</v>
      </c>
      <c r="E135" s="6" t="n">
        <v>5</v>
      </c>
      <c r="F135" s="6" t="s">
        <v>1068</v>
      </c>
      <c r="G135" s="6" t="s">
        <v>414</v>
      </c>
      <c r="H135" s="6"/>
      <c r="I135" s="6"/>
      <c r="J135" s="6"/>
      <c r="K135" s="6" t="s">
        <v>47</v>
      </c>
      <c r="L135" s="6" t="s">
        <v>85</v>
      </c>
      <c r="M135" s="6" t="n">
        <v>0</v>
      </c>
      <c r="N135" s="6" t="s">
        <v>300</v>
      </c>
      <c r="O135" s="6"/>
      <c r="P135" s="6"/>
      <c r="Q135" s="6"/>
      <c r="R135" s="6"/>
      <c r="S135" s="6"/>
      <c r="T135" s="6"/>
      <c r="U135" s="6" t="n">
        <v>1</v>
      </c>
      <c r="V135" s="6"/>
      <c r="W135" s="6"/>
      <c r="X135" s="6"/>
      <c r="Y135" s="6"/>
      <c r="Z135" s="6"/>
      <c r="AA135" s="6"/>
      <c r="AB135" s="6"/>
      <c r="AC135" s="6" t="n">
        <v>1</v>
      </c>
      <c r="AD135" s="6"/>
      <c r="AE135" s="6"/>
      <c r="AF135" s="6"/>
      <c r="AG135" s="6"/>
      <c r="AH135" s="6"/>
      <c r="AI135" s="6"/>
      <c r="AJ135" s="6"/>
    </row>
    <row r="136" customFormat="false" ht="15" hidden="false" customHeight="false" outlineLevel="0" collapsed="false">
      <c r="A136" s="6" t="s">
        <v>1069</v>
      </c>
      <c r="B136" s="6" t="s">
        <v>1070</v>
      </c>
      <c r="C136" s="6" t="n">
        <v>2026</v>
      </c>
      <c r="D136" s="6" t="s">
        <v>1071</v>
      </c>
      <c r="E136" s="6" t="n">
        <v>1</v>
      </c>
      <c r="F136" s="6" t="s">
        <v>1072</v>
      </c>
      <c r="G136" s="6" t="s">
        <v>1073</v>
      </c>
      <c r="H136" s="6" t="s">
        <v>750</v>
      </c>
      <c r="I136" s="6" t="s">
        <v>324</v>
      </c>
      <c r="J136" s="6" t="s">
        <v>484</v>
      </c>
      <c r="K136" s="6" t="s">
        <v>47</v>
      </c>
      <c r="L136" s="6" t="s">
        <v>82</v>
      </c>
      <c r="M136" s="6" t="n">
        <v>0</v>
      </c>
      <c r="N136" s="6" t="s">
        <v>300</v>
      </c>
      <c r="O136" s="6"/>
      <c r="P136" s="6"/>
      <c r="Q136" s="6"/>
      <c r="R136" s="6" t="n">
        <v>1</v>
      </c>
      <c r="S136" s="6"/>
      <c r="T136" s="6"/>
      <c r="U136" s="6" t="n">
        <v>1</v>
      </c>
      <c r="V136" s="6" t="n">
        <v>1</v>
      </c>
      <c r="W136" s="6" t="n">
        <v>1</v>
      </c>
      <c r="X136" s="6"/>
      <c r="Y136" s="6"/>
      <c r="Z136" s="6"/>
      <c r="AA136" s="6"/>
      <c r="AB136" s="6"/>
      <c r="AC136" s="6" t="n">
        <v>1</v>
      </c>
      <c r="AD136" s="6"/>
      <c r="AE136" s="6"/>
      <c r="AF136" s="6"/>
      <c r="AG136" s="6"/>
      <c r="AH136" s="6"/>
      <c r="AI136" s="6"/>
      <c r="AJ136" s="6"/>
    </row>
    <row r="137" customFormat="false" ht="15" hidden="false" customHeight="false" outlineLevel="0" collapsed="false">
      <c r="A137" s="6" t="s">
        <v>1074</v>
      </c>
      <c r="B137" s="6" t="s">
        <v>1075</v>
      </c>
      <c r="C137" s="6" t="n">
        <v>2025</v>
      </c>
      <c r="D137" s="6" t="s">
        <v>1076</v>
      </c>
      <c r="E137" s="6" t="n">
        <v>2</v>
      </c>
      <c r="F137" s="6" t="s">
        <v>1077</v>
      </c>
      <c r="G137" s="6" t="s">
        <v>716</v>
      </c>
      <c r="H137" s="6" t="s">
        <v>415</v>
      </c>
      <c r="I137" s="6" t="s">
        <v>361</v>
      </c>
      <c r="J137" s="6" t="s">
        <v>1078</v>
      </c>
      <c r="K137" s="6" t="s">
        <v>47</v>
      </c>
      <c r="L137" s="6" t="s">
        <v>80</v>
      </c>
      <c r="M137" s="6" t="n">
        <v>10</v>
      </c>
      <c r="N137" s="6" t="s">
        <v>300</v>
      </c>
      <c r="O137" s="6"/>
      <c r="P137" s="6"/>
      <c r="Q137" s="6"/>
      <c r="R137" s="6" t="n">
        <v>1</v>
      </c>
      <c r="S137" s="6"/>
      <c r="T137" s="6"/>
      <c r="U137" s="6" t="n">
        <v>1</v>
      </c>
      <c r="V137" s="6"/>
      <c r="W137" s="6"/>
      <c r="X137" s="6"/>
      <c r="Y137" s="6"/>
      <c r="Z137" s="6"/>
      <c r="AA137" s="6"/>
      <c r="AB137" s="6"/>
      <c r="AC137" s="6" t="n">
        <v>1</v>
      </c>
      <c r="AD137" s="6"/>
      <c r="AE137" s="6"/>
      <c r="AF137" s="6"/>
      <c r="AG137" s="6"/>
      <c r="AH137" s="6"/>
      <c r="AI137" s="6" t="n">
        <v>1</v>
      </c>
      <c r="AJ137" s="6"/>
    </row>
    <row r="138" customFormat="false" ht="15" hidden="false" customHeight="false" outlineLevel="0" collapsed="false">
      <c r="A138" s="6" t="s">
        <v>1079</v>
      </c>
      <c r="B138" s="6" t="s">
        <v>1080</v>
      </c>
      <c r="C138" s="6" t="n">
        <v>2026</v>
      </c>
      <c r="D138" s="6" t="s">
        <v>1081</v>
      </c>
      <c r="E138" s="6" t="n">
        <v>3</v>
      </c>
      <c r="F138" s="6" t="s">
        <v>1082</v>
      </c>
      <c r="G138" s="6" t="s">
        <v>1083</v>
      </c>
      <c r="H138" s="6" t="s">
        <v>298</v>
      </c>
      <c r="I138" s="6" t="s">
        <v>324</v>
      </c>
      <c r="J138" s="6" t="s">
        <v>1084</v>
      </c>
      <c r="K138" s="6" t="s">
        <v>47</v>
      </c>
      <c r="L138" s="6" t="s">
        <v>90</v>
      </c>
      <c r="M138" s="6" t="n">
        <v>0</v>
      </c>
      <c r="N138" s="6" t="s">
        <v>300</v>
      </c>
      <c r="O138" s="6"/>
      <c r="P138" s="6"/>
      <c r="Q138" s="6" t="n">
        <v>1</v>
      </c>
      <c r="R138" s="6"/>
      <c r="S138" s="6" t="n">
        <v>1</v>
      </c>
      <c r="T138" s="6"/>
      <c r="U138" s="6"/>
      <c r="V138" s="6"/>
      <c r="W138" s="6"/>
      <c r="X138" s="6"/>
      <c r="Y138" s="6"/>
      <c r="Z138" s="6"/>
      <c r="AA138" s="6"/>
      <c r="AB138" s="6"/>
      <c r="AC138" s="6"/>
      <c r="AD138" s="6"/>
      <c r="AE138" s="6"/>
      <c r="AF138" s="6"/>
      <c r="AG138" s="6"/>
      <c r="AH138" s="6"/>
      <c r="AI138" s="6"/>
      <c r="AJ138" s="6"/>
    </row>
  </sheetData>
  <autoFilter ref="A3:AJ1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6"/>
    <col collapsed="false" customWidth="true" hidden="false" outlineLevel="0" max="4" min="4" style="0" width="70"/>
    <col collapsed="false" customWidth="true" hidden="false" outlineLevel="0" max="5" min="5" style="0" width="32"/>
    <col collapsed="false" customWidth="true" hidden="false" outlineLevel="0" max="6" min="6" style="0" width="26"/>
    <col collapsed="false" customWidth="true" hidden="false" outlineLevel="0" max="7" min="7" style="0" width="10"/>
    <col collapsed="false" customWidth="true" hidden="false" outlineLevel="0" max="12" min="8" style="0" width="8"/>
    <col collapsed="false" customWidth="true" hidden="false" outlineLevel="0" max="13" min="13" style="0" width="10"/>
    <col collapsed="false" customWidth="true" hidden="false" outlineLevel="0" max="14" min="14" style="0" width="40"/>
    <col collapsed="false" customWidth="true" hidden="false" outlineLevel="0" max="15" min="15" style="0" width="12"/>
  </cols>
  <sheetData>
    <row r="1" customFormat="false" ht="16.15" hidden="false" customHeight="false" outlineLevel="0" collapsed="false">
      <c r="A1" s="1" t="s">
        <v>1085</v>
      </c>
    </row>
    <row r="2" customFormat="false" ht="15" hidden="false" customHeight="false" outlineLevel="0" collapsed="false">
      <c r="A2" s="4" t="s">
        <v>1086</v>
      </c>
    </row>
    <row r="3" customFormat="false" ht="52.2" hidden="false" customHeight="false" outlineLevel="0" collapsed="false">
      <c r="A3" s="5" t="s">
        <v>1087</v>
      </c>
      <c r="B3" s="5" t="s">
        <v>286</v>
      </c>
      <c r="C3" s="5" t="s">
        <v>46</v>
      </c>
      <c r="D3" s="5" t="s">
        <v>226</v>
      </c>
      <c r="E3" s="5" t="s">
        <v>225</v>
      </c>
      <c r="F3" s="5" t="s">
        <v>1088</v>
      </c>
      <c r="G3" s="5" t="s">
        <v>1089</v>
      </c>
      <c r="H3" s="5" t="s">
        <v>1090</v>
      </c>
      <c r="I3" s="5" t="s">
        <v>1091</v>
      </c>
      <c r="J3" s="5" t="s">
        <v>1092</v>
      </c>
      <c r="K3" s="5" t="s">
        <v>1093</v>
      </c>
      <c r="L3" s="5" t="s">
        <v>1094</v>
      </c>
      <c r="M3" s="5" t="s">
        <v>1095</v>
      </c>
      <c r="N3" s="5" t="s">
        <v>1096</v>
      </c>
      <c r="O3" s="5" t="s">
        <v>166</v>
      </c>
    </row>
    <row r="4" customFormat="false" ht="15" hidden="false" customHeight="false" outlineLevel="0" collapsed="false">
      <c r="A4" s="6" t="n">
        <v>1</v>
      </c>
      <c r="B4" s="6" t="s">
        <v>1097</v>
      </c>
      <c r="C4" s="6" t="n">
        <v>2026</v>
      </c>
      <c r="D4" s="6" t="s">
        <v>1098</v>
      </c>
      <c r="E4" s="6" t="s">
        <v>1099</v>
      </c>
      <c r="F4" s="6" t="s">
        <v>33</v>
      </c>
      <c r="G4" s="6" t="s">
        <v>147</v>
      </c>
      <c r="H4" s="6"/>
      <c r="I4" s="6"/>
      <c r="J4" s="6" t="n">
        <v>1</v>
      </c>
      <c r="K4" s="6"/>
      <c r="L4" s="6" t="n">
        <v>1</v>
      </c>
      <c r="M4" s="6"/>
      <c r="N4" s="6" t="s">
        <v>1100</v>
      </c>
      <c r="O4" s="6" t="s">
        <v>147</v>
      </c>
    </row>
    <row r="5" customFormat="false" ht="15" hidden="false" customHeight="false" outlineLevel="0" collapsed="false">
      <c r="A5" s="6" t="n">
        <v>2</v>
      </c>
      <c r="B5" s="6" t="s">
        <v>1079</v>
      </c>
      <c r="C5" s="6" t="n">
        <v>2026</v>
      </c>
      <c r="D5" s="6" t="s">
        <v>1082</v>
      </c>
      <c r="E5" s="6" t="s">
        <v>1083</v>
      </c>
      <c r="F5" s="6" t="s">
        <v>33</v>
      </c>
      <c r="G5" s="6" t="s">
        <v>146</v>
      </c>
      <c r="H5" s="6"/>
      <c r="I5" s="6" t="n">
        <v>1</v>
      </c>
      <c r="J5" s="6" t="n">
        <v>1</v>
      </c>
      <c r="K5" s="6"/>
      <c r="L5" s="6" t="n">
        <v>1</v>
      </c>
      <c r="M5" s="6" t="n">
        <v>1</v>
      </c>
      <c r="N5" s="6" t="s">
        <v>1101</v>
      </c>
      <c r="O5" s="6" t="s">
        <v>146</v>
      </c>
    </row>
    <row r="6" customFormat="false" ht="15" hidden="false" customHeight="false" outlineLevel="0" collapsed="false">
      <c r="A6" s="6" t="n">
        <v>3</v>
      </c>
      <c r="B6" s="6" t="s">
        <v>1102</v>
      </c>
      <c r="C6" s="6" t="n">
        <v>2026</v>
      </c>
      <c r="D6" s="6" t="s">
        <v>1103</v>
      </c>
      <c r="E6" s="6" t="s">
        <v>1104</v>
      </c>
      <c r="F6" s="6" t="s">
        <v>33</v>
      </c>
      <c r="G6" s="6" t="s">
        <v>147</v>
      </c>
      <c r="H6" s="6"/>
      <c r="I6" s="6"/>
      <c r="J6" s="6"/>
      <c r="K6" s="6"/>
      <c r="L6" s="6" t="n">
        <v>1</v>
      </c>
      <c r="M6" s="6"/>
      <c r="N6" s="6" t="s">
        <v>1100</v>
      </c>
      <c r="O6" s="6" t="s">
        <v>147</v>
      </c>
    </row>
    <row r="7" customFormat="false" ht="15" hidden="false" customHeight="false" outlineLevel="0" collapsed="false">
      <c r="A7" s="6" t="n">
        <v>4</v>
      </c>
      <c r="B7" s="6" t="s">
        <v>1105</v>
      </c>
      <c r="C7" s="6" t="n">
        <v>2026</v>
      </c>
      <c r="D7" s="6" t="s">
        <v>1106</v>
      </c>
      <c r="E7" s="6" t="s">
        <v>1107</v>
      </c>
      <c r="F7" s="6" t="s">
        <v>33</v>
      </c>
      <c r="G7" s="6" t="s">
        <v>147</v>
      </c>
      <c r="H7" s="6"/>
      <c r="I7" s="6"/>
      <c r="J7" s="6"/>
      <c r="K7" s="6"/>
      <c r="L7" s="6" t="n">
        <v>1</v>
      </c>
      <c r="M7" s="6"/>
      <c r="N7" s="6" t="s">
        <v>1100</v>
      </c>
      <c r="O7" s="6" t="s">
        <v>147</v>
      </c>
    </row>
    <row r="8" customFormat="false" ht="15" hidden="false" customHeight="false" outlineLevel="0" collapsed="false">
      <c r="A8" s="6" t="n">
        <v>5</v>
      </c>
      <c r="B8" s="6" t="s">
        <v>1108</v>
      </c>
      <c r="C8" s="6" t="n">
        <v>2026</v>
      </c>
      <c r="D8" s="6" t="s">
        <v>1109</v>
      </c>
      <c r="E8" s="6" t="s">
        <v>1110</v>
      </c>
      <c r="F8" s="6" t="s">
        <v>33</v>
      </c>
      <c r="G8" s="6" t="s">
        <v>147</v>
      </c>
      <c r="H8" s="6"/>
      <c r="I8" s="6"/>
      <c r="J8" s="6"/>
      <c r="K8" s="6"/>
      <c r="L8" s="6" t="n">
        <v>1</v>
      </c>
      <c r="M8" s="6"/>
      <c r="N8" s="6" t="s">
        <v>1100</v>
      </c>
      <c r="O8" s="6" t="s">
        <v>147</v>
      </c>
    </row>
    <row r="9" customFormat="false" ht="15" hidden="false" customHeight="false" outlineLevel="0" collapsed="false">
      <c r="A9" s="6" t="n">
        <v>6</v>
      </c>
      <c r="B9" s="6" t="s">
        <v>1111</v>
      </c>
      <c r="C9" s="6" t="n">
        <v>2026</v>
      </c>
      <c r="D9" s="6" t="s">
        <v>1112</v>
      </c>
      <c r="E9" s="6" t="s">
        <v>1113</v>
      </c>
      <c r="F9" s="6" t="s">
        <v>33</v>
      </c>
      <c r="G9" s="6" t="s">
        <v>147</v>
      </c>
      <c r="H9" s="6"/>
      <c r="I9" s="6"/>
      <c r="J9" s="6"/>
      <c r="K9" s="6"/>
      <c r="L9" s="6" t="n">
        <v>1</v>
      </c>
      <c r="M9" s="6"/>
      <c r="N9" s="6" t="s">
        <v>1100</v>
      </c>
      <c r="O9" s="6" t="s">
        <v>147</v>
      </c>
    </row>
    <row r="10" customFormat="false" ht="15" hidden="false" customHeight="false" outlineLevel="0" collapsed="false">
      <c r="A10" s="6" t="n">
        <v>7</v>
      </c>
      <c r="B10" s="6" t="s">
        <v>1114</v>
      </c>
      <c r="C10" s="6" t="n">
        <v>2026</v>
      </c>
      <c r="D10" s="6" t="s">
        <v>1115</v>
      </c>
      <c r="E10" s="6" t="s">
        <v>1113</v>
      </c>
      <c r="F10" s="6" t="s">
        <v>33</v>
      </c>
      <c r="G10" s="6" t="s">
        <v>147</v>
      </c>
      <c r="H10" s="6"/>
      <c r="I10" s="6"/>
      <c r="J10" s="6"/>
      <c r="K10" s="6"/>
      <c r="L10" s="6" t="n">
        <v>1</v>
      </c>
      <c r="M10" s="6"/>
      <c r="N10" s="6" t="s">
        <v>1100</v>
      </c>
      <c r="O10" s="6" t="s">
        <v>147</v>
      </c>
    </row>
    <row r="11" customFormat="false" ht="15" hidden="false" customHeight="false" outlineLevel="0" collapsed="false">
      <c r="A11" s="6" t="n">
        <v>8</v>
      </c>
      <c r="B11" s="6" t="s">
        <v>1116</v>
      </c>
      <c r="C11" s="6" t="n">
        <v>2026</v>
      </c>
      <c r="D11" s="6" t="s">
        <v>1117</v>
      </c>
      <c r="E11" s="6" t="s">
        <v>1118</v>
      </c>
      <c r="F11" s="6" t="s">
        <v>33</v>
      </c>
      <c r="G11" s="6" t="s">
        <v>147</v>
      </c>
      <c r="H11" s="6"/>
      <c r="I11" s="6"/>
      <c r="J11" s="6"/>
      <c r="K11" s="6"/>
      <c r="L11" s="6" t="n">
        <v>1</v>
      </c>
      <c r="M11" s="6"/>
      <c r="N11" s="6" t="s">
        <v>1100</v>
      </c>
      <c r="O11" s="6" t="s">
        <v>147</v>
      </c>
    </row>
    <row r="12" customFormat="false" ht="15" hidden="false" customHeight="false" outlineLevel="0" collapsed="false">
      <c r="A12" s="6" t="n">
        <v>9</v>
      </c>
      <c r="B12" s="6" t="s">
        <v>925</v>
      </c>
      <c r="C12" s="6" t="n">
        <v>2026</v>
      </c>
      <c r="D12" s="6" t="s">
        <v>928</v>
      </c>
      <c r="E12" s="6" t="s">
        <v>929</v>
      </c>
      <c r="F12" s="6" t="s">
        <v>33</v>
      </c>
      <c r="G12" s="6" t="s">
        <v>146</v>
      </c>
      <c r="H12" s="6" t="n">
        <v>1</v>
      </c>
      <c r="I12" s="6" t="n">
        <v>1</v>
      </c>
      <c r="J12" s="6"/>
      <c r="K12" s="6"/>
      <c r="L12" s="6" t="n">
        <v>1</v>
      </c>
      <c r="M12" s="6" t="n">
        <v>1</v>
      </c>
      <c r="N12" s="6" t="s">
        <v>1101</v>
      </c>
      <c r="O12" s="6" t="s">
        <v>146</v>
      </c>
    </row>
    <row r="13" customFormat="false" ht="15" hidden="false" customHeight="false" outlineLevel="0" collapsed="false">
      <c r="A13" s="6" t="n">
        <v>10</v>
      </c>
      <c r="B13" s="6" t="s">
        <v>562</v>
      </c>
      <c r="C13" s="6" t="n">
        <v>2026</v>
      </c>
      <c r="D13" s="6" t="s">
        <v>565</v>
      </c>
      <c r="E13" s="6" t="s">
        <v>566</v>
      </c>
      <c r="F13" s="6" t="s">
        <v>146</v>
      </c>
      <c r="G13" s="6" t="s">
        <v>146</v>
      </c>
      <c r="H13" s="6" t="n">
        <v>1</v>
      </c>
      <c r="I13" s="6" t="n">
        <v>1</v>
      </c>
      <c r="J13" s="6"/>
      <c r="K13" s="6" t="n">
        <v>1</v>
      </c>
      <c r="L13" s="6" t="n">
        <v>1</v>
      </c>
      <c r="M13" s="6"/>
      <c r="N13" s="6" t="s">
        <v>1100</v>
      </c>
      <c r="O13" s="6" t="s">
        <v>146</v>
      </c>
    </row>
    <row r="14" customFormat="false" ht="15" hidden="false" customHeight="false" outlineLevel="0" collapsed="false">
      <c r="A14" s="6" t="n">
        <v>11</v>
      </c>
      <c r="B14" s="6" t="s">
        <v>1119</v>
      </c>
      <c r="C14" s="6" t="n">
        <v>2026</v>
      </c>
      <c r="D14" s="6" t="s">
        <v>1120</v>
      </c>
      <c r="E14" s="6" t="s">
        <v>1121</v>
      </c>
      <c r="F14" s="6" t="s">
        <v>33</v>
      </c>
      <c r="G14" s="6" t="s">
        <v>147</v>
      </c>
      <c r="H14" s="6"/>
      <c r="I14" s="6" t="n">
        <v>1</v>
      </c>
      <c r="J14" s="6"/>
      <c r="K14" s="6"/>
      <c r="L14" s="6"/>
      <c r="M14" s="6"/>
      <c r="N14" s="6" t="s">
        <v>1100</v>
      </c>
      <c r="O14" s="6" t="s">
        <v>147</v>
      </c>
    </row>
    <row r="15" customFormat="false" ht="15" hidden="false" customHeight="false" outlineLevel="0" collapsed="false">
      <c r="A15" s="6" t="n">
        <v>12</v>
      </c>
      <c r="B15" s="6" t="s">
        <v>1122</v>
      </c>
      <c r="C15" s="6" t="n">
        <v>2026</v>
      </c>
      <c r="D15" s="6" t="s">
        <v>1123</v>
      </c>
      <c r="E15" s="6" t="s">
        <v>1124</v>
      </c>
      <c r="F15" s="6" t="s">
        <v>33</v>
      </c>
      <c r="G15" s="6" t="s">
        <v>147</v>
      </c>
      <c r="H15" s="6"/>
      <c r="I15" s="6"/>
      <c r="J15" s="6"/>
      <c r="K15" s="6"/>
      <c r="L15" s="6" t="n">
        <v>1</v>
      </c>
      <c r="M15" s="6"/>
      <c r="N15" s="6" t="s">
        <v>1100</v>
      </c>
      <c r="O15" s="6" t="s">
        <v>147</v>
      </c>
    </row>
    <row r="16" customFormat="false" ht="15" hidden="false" customHeight="false" outlineLevel="0" collapsed="false">
      <c r="A16" s="6" t="n">
        <v>13</v>
      </c>
      <c r="B16" s="6" t="s">
        <v>1125</v>
      </c>
      <c r="C16" s="6" t="n">
        <v>2026</v>
      </c>
      <c r="D16" s="6" t="s">
        <v>1126</v>
      </c>
      <c r="E16" s="6" t="s">
        <v>1127</v>
      </c>
      <c r="F16" s="6" t="s">
        <v>33</v>
      </c>
      <c r="G16" s="6" t="s">
        <v>147</v>
      </c>
      <c r="H16" s="6"/>
      <c r="I16" s="6" t="n">
        <v>1</v>
      </c>
      <c r="J16" s="6"/>
      <c r="K16" s="6"/>
      <c r="L16" s="6"/>
      <c r="M16" s="6"/>
      <c r="N16" s="6" t="s">
        <v>1100</v>
      </c>
      <c r="O16" s="6" t="s">
        <v>147</v>
      </c>
    </row>
    <row r="17" customFormat="false" ht="15" hidden="false" customHeight="false" outlineLevel="0" collapsed="false">
      <c r="A17" s="6" t="n">
        <v>14</v>
      </c>
      <c r="B17" s="6" t="s">
        <v>1128</v>
      </c>
      <c r="C17" s="6" t="n">
        <v>2026</v>
      </c>
      <c r="D17" s="6" t="s">
        <v>1129</v>
      </c>
      <c r="E17" s="6" t="s">
        <v>1130</v>
      </c>
      <c r="F17" s="6" t="s">
        <v>33</v>
      </c>
      <c r="G17" s="6" t="s">
        <v>147</v>
      </c>
      <c r="H17" s="6"/>
      <c r="I17" s="6"/>
      <c r="J17" s="6" t="n">
        <v>1</v>
      </c>
      <c r="K17" s="6"/>
      <c r="L17" s="6"/>
      <c r="M17" s="6"/>
      <c r="N17" s="6" t="s">
        <v>1100</v>
      </c>
      <c r="O17" s="6" t="s">
        <v>147</v>
      </c>
    </row>
    <row r="18" customFormat="false" ht="15" hidden="false" customHeight="false" outlineLevel="0" collapsed="false">
      <c r="A18" s="6" t="n">
        <v>15</v>
      </c>
      <c r="B18" s="6" t="s">
        <v>1131</v>
      </c>
      <c r="C18" s="6" t="n">
        <v>2026</v>
      </c>
      <c r="D18" s="6" t="s">
        <v>1132</v>
      </c>
      <c r="E18" s="6" t="s">
        <v>1133</v>
      </c>
      <c r="F18" s="6" t="s">
        <v>33</v>
      </c>
      <c r="G18" s="6" t="s">
        <v>147</v>
      </c>
      <c r="H18" s="6"/>
      <c r="I18" s="6" t="n">
        <v>1</v>
      </c>
      <c r="J18" s="6"/>
      <c r="K18" s="6"/>
      <c r="L18" s="6" t="n">
        <v>1</v>
      </c>
      <c r="M18" s="6"/>
      <c r="N18" s="6" t="s">
        <v>1100</v>
      </c>
      <c r="O18" s="6" t="s">
        <v>147</v>
      </c>
    </row>
    <row r="19" customFormat="false" ht="15" hidden="false" customHeight="false" outlineLevel="0" collapsed="false">
      <c r="A19" s="6" t="n">
        <v>16</v>
      </c>
      <c r="B19" s="6" t="s">
        <v>410</v>
      </c>
      <c r="C19" s="6" t="n">
        <v>2026</v>
      </c>
      <c r="D19" s="6" t="s">
        <v>413</v>
      </c>
      <c r="E19" s="6" t="s">
        <v>414</v>
      </c>
      <c r="F19" s="6" t="s">
        <v>146</v>
      </c>
      <c r="G19" s="6" t="s">
        <v>146</v>
      </c>
      <c r="H19" s="6" t="n">
        <v>1</v>
      </c>
      <c r="I19" s="6" t="n">
        <v>1</v>
      </c>
      <c r="J19" s="6"/>
      <c r="K19" s="6" t="n">
        <v>1</v>
      </c>
      <c r="L19" s="6" t="n">
        <v>1</v>
      </c>
      <c r="M19" s="6"/>
      <c r="N19" s="6" t="s">
        <v>1100</v>
      </c>
      <c r="O19" s="6" t="s">
        <v>146</v>
      </c>
    </row>
    <row r="20" customFormat="false" ht="15" hidden="false" customHeight="false" outlineLevel="0" collapsed="false">
      <c r="A20" s="6" t="n">
        <v>17</v>
      </c>
      <c r="B20" s="6" t="s">
        <v>1134</v>
      </c>
      <c r="C20" s="6" t="n">
        <v>2026</v>
      </c>
      <c r="D20" s="6" t="s">
        <v>1135</v>
      </c>
      <c r="E20" s="6" t="s">
        <v>1136</v>
      </c>
      <c r="F20" s="6" t="s">
        <v>33</v>
      </c>
      <c r="G20" s="6" t="s">
        <v>147</v>
      </c>
      <c r="H20" s="6"/>
      <c r="I20" s="6" t="n">
        <v>1</v>
      </c>
      <c r="J20" s="6"/>
      <c r="K20" s="6"/>
      <c r="L20" s="6" t="n">
        <v>1</v>
      </c>
      <c r="M20" s="6"/>
      <c r="N20" s="6" t="s">
        <v>1100</v>
      </c>
      <c r="O20" s="6" t="s">
        <v>147</v>
      </c>
    </row>
    <row r="21" customFormat="false" ht="15" hidden="false" customHeight="false" outlineLevel="0" collapsed="false">
      <c r="A21" s="6" t="n">
        <v>18</v>
      </c>
      <c r="B21" s="6" t="s">
        <v>699</v>
      </c>
      <c r="C21" s="6" t="n">
        <v>2026</v>
      </c>
      <c r="D21" s="6" t="s">
        <v>702</v>
      </c>
      <c r="E21" s="6" t="s">
        <v>703</v>
      </c>
      <c r="F21" s="6" t="s">
        <v>33</v>
      </c>
      <c r="G21" s="6" t="s">
        <v>146</v>
      </c>
      <c r="H21" s="6" t="n">
        <v>1</v>
      </c>
      <c r="I21" s="6" t="n">
        <v>1</v>
      </c>
      <c r="J21" s="6"/>
      <c r="K21" s="6"/>
      <c r="L21" s="6" t="n">
        <v>1</v>
      </c>
      <c r="M21" s="6" t="n">
        <v>1</v>
      </c>
      <c r="N21" s="6" t="s">
        <v>1101</v>
      </c>
      <c r="O21" s="6" t="s">
        <v>146</v>
      </c>
    </row>
    <row r="22" customFormat="false" ht="15" hidden="false" customHeight="false" outlineLevel="0" collapsed="false">
      <c r="A22" s="6" t="n">
        <v>19</v>
      </c>
      <c r="B22" s="6" t="s">
        <v>1137</v>
      </c>
      <c r="C22" s="6" t="n">
        <v>2026</v>
      </c>
      <c r="D22" s="6" t="s">
        <v>1138</v>
      </c>
      <c r="E22" s="6" t="s">
        <v>1139</v>
      </c>
      <c r="F22" s="6" t="s">
        <v>33</v>
      </c>
      <c r="G22" s="6" t="s">
        <v>147</v>
      </c>
      <c r="H22" s="6"/>
      <c r="I22" s="6"/>
      <c r="J22" s="6"/>
      <c r="K22" s="6"/>
      <c r="L22" s="6" t="n">
        <v>1</v>
      </c>
      <c r="M22" s="6"/>
      <c r="N22" s="6" t="s">
        <v>1100</v>
      </c>
      <c r="O22" s="6" t="s">
        <v>147</v>
      </c>
    </row>
    <row r="23" customFormat="false" ht="15" hidden="false" customHeight="false" outlineLevel="0" collapsed="false">
      <c r="A23" s="6" t="n">
        <v>20</v>
      </c>
      <c r="B23" s="6" t="s">
        <v>1140</v>
      </c>
      <c r="C23" s="6" t="n">
        <v>2026</v>
      </c>
      <c r="D23" s="6" t="s">
        <v>1141</v>
      </c>
      <c r="E23" s="6" t="s">
        <v>1142</v>
      </c>
      <c r="F23" s="6" t="s">
        <v>33</v>
      </c>
      <c r="G23" s="6" t="s">
        <v>147</v>
      </c>
      <c r="H23" s="6"/>
      <c r="I23" s="6"/>
      <c r="J23" s="6"/>
      <c r="K23" s="6"/>
      <c r="L23" s="6" t="n">
        <v>1</v>
      </c>
      <c r="M23" s="6"/>
      <c r="N23" s="6" t="s">
        <v>1100</v>
      </c>
      <c r="O23" s="6" t="s">
        <v>147</v>
      </c>
    </row>
    <row r="24" customFormat="false" ht="15" hidden="false" customHeight="false" outlineLevel="0" collapsed="false">
      <c r="A24" s="6" t="n">
        <v>21</v>
      </c>
      <c r="B24" s="6" t="s">
        <v>1143</v>
      </c>
      <c r="C24" s="6" t="n">
        <v>2026</v>
      </c>
      <c r="D24" s="6" t="s">
        <v>1144</v>
      </c>
      <c r="E24" s="6" t="s">
        <v>1145</v>
      </c>
      <c r="F24" s="6" t="s">
        <v>33</v>
      </c>
      <c r="G24" s="6" t="s">
        <v>147</v>
      </c>
      <c r="H24" s="6"/>
      <c r="I24" s="6"/>
      <c r="J24" s="6"/>
      <c r="K24" s="6"/>
      <c r="L24" s="6"/>
      <c r="M24" s="6"/>
      <c r="N24" s="6" t="s">
        <v>1100</v>
      </c>
      <c r="O24" s="6" t="s">
        <v>147</v>
      </c>
    </row>
    <row r="25" customFormat="false" ht="15" hidden="false" customHeight="false" outlineLevel="0" collapsed="false">
      <c r="A25" s="6" t="n">
        <v>22</v>
      </c>
      <c r="B25" s="6" t="s">
        <v>1146</v>
      </c>
      <c r="C25" s="6" t="n">
        <v>2026</v>
      </c>
      <c r="D25" s="6" t="s">
        <v>1147</v>
      </c>
      <c r="E25" s="6" t="s">
        <v>251</v>
      </c>
      <c r="F25" s="6" t="s">
        <v>33</v>
      </c>
      <c r="G25" s="6" t="s">
        <v>147</v>
      </c>
      <c r="H25" s="6"/>
      <c r="I25" s="6"/>
      <c r="J25" s="6"/>
      <c r="K25" s="6"/>
      <c r="L25" s="6" t="n">
        <v>1</v>
      </c>
      <c r="M25" s="6"/>
      <c r="N25" s="6" t="s">
        <v>1100</v>
      </c>
      <c r="O25" s="6" t="s">
        <v>147</v>
      </c>
    </row>
    <row r="26" customFormat="false" ht="15" hidden="false" customHeight="false" outlineLevel="0" collapsed="false">
      <c r="A26" s="6" t="n">
        <v>23</v>
      </c>
      <c r="B26" s="6" t="s">
        <v>1148</v>
      </c>
      <c r="C26" s="6" t="n">
        <v>2026</v>
      </c>
      <c r="D26" s="6" t="s">
        <v>1149</v>
      </c>
      <c r="E26" s="6" t="s">
        <v>1150</v>
      </c>
      <c r="F26" s="6" t="s">
        <v>33</v>
      </c>
      <c r="G26" s="6" t="s">
        <v>147</v>
      </c>
      <c r="H26" s="6"/>
      <c r="I26" s="6"/>
      <c r="J26" s="6"/>
      <c r="K26" s="6"/>
      <c r="L26" s="6" t="n">
        <v>1</v>
      </c>
      <c r="M26" s="6"/>
      <c r="N26" s="6" t="s">
        <v>1100</v>
      </c>
      <c r="O26" s="6" t="s">
        <v>147</v>
      </c>
    </row>
    <row r="27" customFormat="false" ht="15" hidden="false" customHeight="false" outlineLevel="0" collapsed="false">
      <c r="A27" s="6" t="n">
        <v>24</v>
      </c>
      <c r="B27" s="6" t="s">
        <v>1151</v>
      </c>
      <c r="C27" s="6" t="n">
        <v>2026</v>
      </c>
      <c r="D27" s="6" t="s">
        <v>1152</v>
      </c>
      <c r="E27" s="6" t="s">
        <v>1153</v>
      </c>
      <c r="F27" s="6" t="s">
        <v>33</v>
      </c>
      <c r="G27" s="6" t="s">
        <v>147</v>
      </c>
      <c r="H27" s="6"/>
      <c r="I27" s="6"/>
      <c r="J27" s="6" t="n">
        <v>1</v>
      </c>
      <c r="K27" s="6"/>
      <c r="L27" s="6" t="n">
        <v>1</v>
      </c>
      <c r="M27" s="6"/>
      <c r="N27" s="6" t="s">
        <v>1100</v>
      </c>
      <c r="O27" s="6" t="s">
        <v>147</v>
      </c>
    </row>
    <row r="28" customFormat="false" ht="15" hidden="false" customHeight="false" outlineLevel="0" collapsed="false">
      <c r="A28" s="6" t="n">
        <v>25</v>
      </c>
      <c r="B28" s="6" t="s">
        <v>1154</v>
      </c>
      <c r="C28" s="6" t="n">
        <v>2026</v>
      </c>
      <c r="D28" s="6" t="s">
        <v>1155</v>
      </c>
      <c r="E28" s="6" t="s">
        <v>1156</v>
      </c>
      <c r="F28" s="6" t="s">
        <v>33</v>
      </c>
      <c r="G28" s="6" t="s">
        <v>147</v>
      </c>
      <c r="H28" s="6"/>
      <c r="I28" s="6"/>
      <c r="J28" s="6"/>
      <c r="K28" s="6"/>
      <c r="L28" s="6" t="n">
        <v>1</v>
      </c>
      <c r="M28" s="6"/>
      <c r="N28" s="6" t="s">
        <v>1100</v>
      </c>
      <c r="O28" s="6" t="s">
        <v>147</v>
      </c>
    </row>
    <row r="29" customFormat="false" ht="15" hidden="false" customHeight="false" outlineLevel="0" collapsed="false">
      <c r="A29" s="6" t="n">
        <v>26</v>
      </c>
      <c r="B29" s="6" t="s">
        <v>1157</v>
      </c>
      <c r="C29" s="6" t="n">
        <v>2026</v>
      </c>
      <c r="D29" s="6" t="s">
        <v>1158</v>
      </c>
      <c r="E29" s="6" t="s">
        <v>1159</v>
      </c>
      <c r="F29" s="6" t="s">
        <v>33</v>
      </c>
      <c r="G29" s="6" t="s">
        <v>147</v>
      </c>
      <c r="H29" s="6"/>
      <c r="I29" s="6"/>
      <c r="J29" s="6"/>
      <c r="K29" s="6"/>
      <c r="L29" s="6"/>
      <c r="M29" s="6"/>
      <c r="N29" s="6" t="s">
        <v>1100</v>
      </c>
      <c r="O29" s="6" t="s">
        <v>147</v>
      </c>
    </row>
    <row r="30" customFormat="false" ht="15" hidden="false" customHeight="false" outlineLevel="0" collapsed="false">
      <c r="A30" s="6" t="n">
        <v>27</v>
      </c>
      <c r="B30" s="6" t="s">
        <v>1160</v>
      </c>
      <c r="C30" s="6" t="n">
        <v>2026</v>
      </c>
      <c r="D30" s="6" t="s">
        <v>1161</v>
      </c>
      <c r="E30" s="6" t="s">
        <v>1162</v>
      </c>
      <c r="F30" s="6" t="s">
        <v>33</v>
      </c>
      <c r="G30" s="6" t="s">
        <v>147</v>
      </c>
      <c r="H30" s="6"/>
      <c r="I30" s="6"/>
      <c r="J30" s="6"/>
      <c r="K30" s="6"/>
      <c r="L30" s="6" t="n">
        <v>1</v>
      </c>
      <c r="M30" s="6"/>
      <c r="N30" s="6" t="s">
        <v>1100</v>
      </c>
      <c r="O30" s="6" t="s">
        <v>147</v>
      </c>
    </row>
    <row r="31" customFormat="false" ht="15" hidden="false" customHeight="false" outlineLevel="0" collapsed="false">
      <c r="A31" s="6" t="n">
        <v>28</v>
      </c>
      <c r="B31" s="6" t="s">
        <v>1163</v>
      </c>
      <c r="C31" s="6" t="n">
        <v>2026</v>
      </c>
      <c r="D31" s="6" t="s">
        <v>1164</v>
      </c>
      <c r="E31" s="6" t="s">
        <v>1159</v>
      </c>
      <c r="F31" s="6" t="s">
        <v>34</v>
      </c>
      <c r="G31" s="6" t="s">
        <v>147</v>
      </c>
      <c r="H31" s="6"/>
      <c r="I31" s="6"/>
      <c r="J31" s="6" t="n">
        <v>1</v>
      </c>
      <c r="K31" s="6"/>
      <c r="L31" s="6" t="n">
        <v>1</v>
      </c>
      <c r="M31" s="6"/>
      <c r="N31" s="6" t="s">
        <v>1165</v>
      </c>
      <c r="O31" s="6" t="s">
        <v>147</v>
      </c>
    </row>
    <row r="32" customFormat="false" ht="15" hidden="false" customHeight="false" outlineLevel="0" collapsed="false">
      <c r="A32" s="6" t="n">
        <v>29</v>
      </c>
      <c r="B32" s="6" t="s">
        <v>1166</v>
      </c>
      <c r="C32" s="6" t="n">
        <v>2026</v>
      </c>
      <c r="D32" s="6" t="s">
        <v>1167</v>
      </c>
      <c r="E32" s="6" t="s">
        <v>1168</v>
      </c>
      <c r="F32" s="6" t="s">
        <v>33</v>
      </c>
      <c r="G32" s="6" t="s">
        <v>147</v>
      </c>
      <c r="H32" s="6"/>
      <c r="I32" s="6"/>
      <c r="J32" s="6" t="n">
        <v>1</v>
      </c>
      <c r="K32" s="6"/>
      <c r="L32" s="6"/>
      <c r="M32" s="6"/>
      <c r="N32" s="6" t="s">
        <v>1100</v>
      </c>
      <c r="O32" s="6" t="s">
        <v>147</v>
      </c>
    </row>
    <row r="33" customFormat="false" ht="15" hidden="false" customHeight="false" outlineLevel="0" collapsed="false">
      <c r="A33" s="6" t="n">
        <v>30</v>
      </c>
      <c r="B33" s="6" t="s">
        <v>1169</v>
      </c>
      <c r="C33" s="6" t="n">
        <v>2026</v>
      </c>
      <c r="D33" s="6" t="s">
        <v>1170</v>
      </c>
      <c r="E33" s="6" t="s">
        <v>1171</v>
      </c>
      <c r="F33" s="6" t="s">
        <v>33</v>
      </c>
      <c r="G33" s="6" t="s">
        <v>147</v>
      </c>
      <c r="H33" s="6"/>
      <c r="I33" s="6" t="n">
        <v>1</v>
      </c>
      <c r="J33" s="6"/>
      <c r="K33" s="6"/>
      <c r="L33" s="6" t="n">
        <v>1</v>
      </c>
      <c r="M33" s="6"/>
      <c r="N33" s="6" t="s">
        <v>1100</v>
      </c>
      <c r="O33" s="6" t="s">
        <v>147</v>
      </c>
    </row>
    <row r="34" customFormat="false" ht="15" hidden="false" customHeight="false" outlineLevel="0" collapsed="false">
      <c r="A34" s="6" t="n">
        <v>31</v>
      </c>
      <c r="B34" s="6" t="s">
        <v>347</v>
      </c>
      <c r="C34" s="6" t="n">
        <v>2026</v>
      </c>
      <c r="D34" s="6" t="s">
        <v>350</v>
      </c>
      <c r="E34" s="6" t="s">
        <v>351</v>
      </c>
      <c r="F34" s="6" t="s">
        <v>146</v>
      </c>
      <c r="G34" s="6" t="s">
        <v>146</v>
      </c>
      <c r="H34" s="6" t="n">
        <v>1</v>
      </c>
      <c r="I34" s="6" t="n">
        <v>1</v>
      </c>
      <c r="J34" s="6" t="n">
        <v>1</v>
      </c>
      <c r="K34" s="6"/>
      <c r="L34" s="6"/>
      <c r="M34" s="6"/>
      <c r="N34" s="6" t="s">
        <v>1100</v>
      </c>
      <c r="O34" s="6" t="s">
        <v>146</v>
      </c>
    </row>
    <row r="35" customFormat="false" ht="15" hidden="false" customHeight="false" outlineLevel="0" collapsed="false">
      <c r="A35" s="6" t="n">
        <v>32</v>
      </c>
      <c r="B35" s="6" t="s">
        <v>901</v>
      </c>
      <c r="C35" s="6" t="n">
        <v>2026</v>
      </c>
      <c r="D35" s="6" t="s">
        <v>904</v>
      </c>
      <c r="E35" s="6" t="s">
        <v>905</v>
      </c>
      <c r="F35" s="6" t="s">
        <v>146</v>
      </c>
      <c r="G35" s="6" t="s">
        <v>146</v>
      </c>
      <c r="H35" s="6"/>
      <c r="I35" s="6" t="n">
        <v>1</v>
      </c>
      <c r="J35" s="6" t="n">
        <v>1</v>
      </c>
      <c r="K35" s="6"/>
      <c r="L35" s="6" t="n">
        <v>1</v>
      </c>
      <c r="M35" s="6"/>
      <c r="N35" s="6" t="s">
        <v>1100</v>
      </c>
      <c r="O35" s="6" t="s">
        <v>146</v>
      </c>
    </row>
    <row r="36" customFormat="false" ht="15" hidden="false" customHeight="false" outlineLevel="0" collapsed="false">
      <c r="A36" s="6" t="n">
        <v>33</v>
      </c>
      <c r="B36" s="6" t="s">
        <v>1172</v>
      </c>
      <c r="C36" s="6" t="n">
        <v>2026</v>
      </c>
      <c r="D36" s="6" t="s">
        <v>1173</v>
      </c>
      <c r="E36" s="6" t="s">
        <v>1174</v>
      </c>
      <c r="F36" s="6" t="s">
        <v>33</v>
      </c>
      <c r="G36" s="6" t="s">
        <v>147</v>
      </c>
      <c r="H36" s="6"/>
      <c r="I36" s="6"/>
      <c r="J36" s="6" t="n">
        <v>1</v>
      </c>
      <c r="K36" s="6"/>
      <c r="L36" s="6"/>
      <c r="M36" s="6"/>
      <c r="N36" s="6" t="s">
        <v>1100</v>
      </c>
      <c r="O36" s="6" t="s">
        <v>147</v>
      </c>
    </row>
    <row r="37" customFormat="false" ht="15" hidden="false" customHeight="false" outlineLevel="0" collapsed="false">
      <c r="A37" s="6" t="n">
        <v>34</v>
      </c>
      <c r="B37" s="6" t="s">
        <v>1175</v>
      </c>
      <c r="C37" s="6" t="n">
        <v>2026</v>
      </c>
      <c r="D37" s="6" t="s">
        <v>1176</v>
      </c>
      <c r="E37" s="6" t="s">
        <v>1177</v>
      </c>
      <c r="F37" s="6" t="s">
        <v>33</v>
      </c>
      <c r="G37" s="6" t="s">
        <v>147</v>
      </c>
      <c r="H37" s="6"/>
      <c r="I37" s="6"/>
      <c r="J37" s="6" t="n">
        <v>1</v>
      </c>
      <c r="K37" s="6"/>
      <c r="L37" s="6" t="n">
        <v>1</v>
      </c>
      <c r="M37" s="6"/>
      <c r="N37" s="6" t="s">
        <v>1100</v>
      </c>
      <c r="O37" s="6" t="s">
        <v>147</v>
      </c>
    </row>
    <row r="38" customFormat="false" ht="15" hidden="false" customHeight="false" outlineLevel="0" collapsed="false">
      <c r="A38" s="6" t="n">
        <v>35</v>
      </c>
      <c r="B38" s="6" t="s">
        <v>569</v>
      </c>
      <c r="C38" s="6" t="n">
        <v>2026</v>
      </c>
      <c r="D38" s="6" t="s">
        <v>572</v>
      </c>
      <c r="E38" s="6" t="s">
        <v>573</v>
      </c>
      <c r="F38" s="6" t="s">
        <v>146</v>
      </c>
      <c r="G38" s="6" t="s">
        <v>146</v>
      </c>
      <c r="H38" s="6" t="n">
        <v>1</v>
      </c>
      <c r="I38" s="6" t="n">
        <v>1</v>
      </c>
      <c r="J38" s="6" t="n">
        <v>1</v>
      </c>
      <c r="K38" s="6"/>
      <c r="L38" s="6" t="n">
        <v>1</v>
      </c>
      <c r="M38" s="6"/>
      <c r="N38" s="6" t="s">
        <v>1100</v>
      </c>
      <c r="O38" s="6" t="s">
        <v>146</v>
      </c>
    </row>
    <row r="39" customFormat="false" ht="15" hidden="false" customHeight="false" outlineLevel="0" collapsed="false">
      <c r="A39" s="6" t="n">
        <v>36</v>
      </c>
      <c r="B39" s="6" t="s">
        <v>954</v>
      </c>
      <c r="C39" s="6" t="n">
        <v>2026</v>
      </c>
      <c r="D39" s="6" t="s">
        <v>957</v>
      </c>
      <c r="E39" s="6" t="s">
        <v>861</v>
      </c>
      <c r="F39" s="6" t="s">
        <v>146</v>
      </c>
      <c r="G39" s="6" t="s">
        <v>146</v>
      </c>
      <c r="H39" s="6" t="n">
        <v>1</v>
      </c>
      <c r="I39" s="6" t="n">
        <v>1</v>
      </c>
      <c r="J39" s="6" t="n">
        <v>1</v>
      </c>
      <c r="K39" s="6"/>
      <c r="L39" s="6" t="n">
        <v>1</v>
      </c>
      <c r="M39" s="6"/>
      <c r="N39" s="6" t="s">
        <v>1100</v>
      </c>
      <c r="O39" s="6" t="s">
        <v>146</v>
      </c>
    </row>
    <row r="40" customFormat="false" ht="15" hidden="false" customHeight="false" outlineLevel="0" collapsed="false">
      <c r="A40" s="6" t="n">
        <v>37</v>
      </c>
      <c r="B40" s="6" t="s">
        <v>1178</v>
      </c>
      <c r="C40" s="6" t="n">
        <v>2026</v>
      </c>
      <c r="D40" s="6" t="s">
        <v>1179</v>
      </c>
      <c r="E40" s="6" t="s">
        <v>946</v>
      </c>
      <c r="F40" s="6" t="s">
        <v>33</v>
      </c>
      <c r="G40" s="6" t="s">
        <v>147</v>
      </c>
      <c r="H40" s="6"/>
      <c r="I40" s="6" t="n">
        <v>1</v>
      </c>
      <c r="J40" s="6"/>
      <c r="K40" s="6"/>
      <c r="L40" s="6" t="n">
        <v>1</v>
      </c>
      <c r="M40" s="6"/>
      <c r="N40" s="6" t="s">
        <v>1100</v>
      </c>
      <c r="O40" s="6" t="s">
        <v>147</v>
      </c>
    </row>
    <row r="41" customFormat="false" ht="15" hidden="false" customHeight="false" outlineLevel="0" collapsed="false">
      <c r="A41" s="6" t="n">
        <v>38</v>
      </c>
      <c r="B41" s="6" t="s">
        <v>1180</v>
      </c>
      <c r="C41" s="6" t="n">
        <v>2026</v>
      </c>
      <c r="D41" s="6" t="s">
        <v>1181</v>
      </c>
      <c r="E41" s="6" t="s">
        <v>1182</v>
      </c>
      <c r="F41" s="6" t="s">
        <v>33</v>
      </c>
      <c r="G41" s="6" t="s">
        <v>146</v>
      </c>
      <c r="H41" s="6" t="n">
        <v>1</v>
      </c>
      <c r="I41" s="6"/>
      <c r="J41" s="6" t="n">
        <v>1</v>
      </c>
      <c r="K41" s="6"/>
      <c r="L41" s="6"/>
      <c r="M41" s="6" t="n">
        <v>1</v>
      </c>
      <c r="N41" s="6" t="s">
        <v>1183</v>
      </c>
      <c r="O41" s="6" t="s">
        <v>147</v>
      </c>
    </row>
    <row r="42" customFormat="false" ht="15" hidden="false" customHeight="false" outlineLevel="0" collapsed="false">
      <c r="A42" s="6" t="n">
        <v>39</v>
      </c>
      <c r="B42" s="6" t="s">
        <v>1184</v>
      </c>
      <c r="C42" s="6" t="n">
        <v>2026</v>
      </c>
      <c r="D42" s="6" t="s">
        <v>1185</v>
      </c>
      <c r="E42" s="6" t="s">
        <v>1186</v>
      </c>
      <c r="F42" s="6" t="s">
        <v>33</v>
      </c>
      <c r="G42" s="6" t="s">
        <v>147</v>
      </c>
      <c r="H42" s="6"/>
      <c r="I42" s="6" t="n">
        <v>1</v>
      </c>
      <c r="J42" s="6"/>
      <c r="K42" s="6"/>
      <c r="L42" s="6" t="n">
        <v>1</v>
      </c>
      <c r="M42" s="6"/>
      <c r="N42" s="6" t="s">
        <v>1100</v>
      </c>
      <c r="O42" s="6" t="s">
        <v>147</v>
      </c>
    </row>
    <row r="43" customFormat="false" ht="15" hidden="false" customHeight="false" outlineLevel="0" collapsed="false">
      <c r="A43" s="6" t="n">
        <v>40</v>
      </c>
      <c r="B43" s="6" t="s">
        <v>693</v>
      </c>
      <c r="C43" s="6" t="n">
        <v>2026</v>
      </c>
      <c r="D43" s="6" t="s">
        <v>696</v>
      </c>
      <c r="E43" s="6" t="s">
        <v>697</v>
      </c>
      <c r="F43" s="6" t="s">
        <v>146</v>
      </c>
      <c r="G43" s="6" t="s">
        <v>147</v>
      </c>
      <c r="H43" s="6"/>
      <c r="I43" s="6" t="n">
        <v>1</v>
      </c>
      <c r="J43" s="6"/>
      <c r="K43" s="6" t="n">
        <v>1</v>
      </c>
      <c r="L43" s="6" t="n">
        <v>1</v>
      </c>
      <c r="M43" s="6" t="n">
        <v>1</v>
      </c>
      <c r="N43" s="6" t="s">
        <v>1187</v>
      </c>
      <c r="O43" s="6" t="s">
        <v>146</v>
      </c>
    </row>
    <row r="44" customFormat="false" ht="15" hidden="false" customHeight="false" outlineLevel="0" collapsed="false">
      <c r="A44" s="6" t="n">
        <v>41</v>
      </c>
      <c r="B44" s="6" t="s">
        <v>996</v>
      </c>
      <c r="C44" s="6" t="n">
        <v>2026</v>
      </c>
      <c r="D44" s="6" t="s">
        <v>999</v>
      </c>
      <c r="E44" s="6" t="s">
        <v>566</v>
      </c>
      <c r="F44" s="6" t="s">
        <v>146</v>
      </c>
      <c r="G44" s="6" t="s">
        <v>146</v>
      </c>
      <c r="H44" s="6" t="n">
        <v>1</v>
      </c>
      <c r="I44" s="6"/>
      <c r="J44" s="6" t="n">
        <v>1</v>
      </c>
      <c r="K44" s="6" t="n">
        <v>1</v>
      </c>
      <c r="L44" s="6" t="n">
        <v>1</v>
      </c>
      <c r="M44" s="6"/>
      <c r="N44" s="6" t="s">
        <v>1100</v>
      </c>
      <c r="O44" s="6" t="s">
        <v>146</v>
      </c>
    </row>
    <row r="45" customFormat="false" ht="15" hidden="false" customHeight="false" outlineLevel="0" collapsed="false">
      <c r="A45" s="6" t="n">
        <v>42</v>
      </c>
      <c r="B45" s="6" t="s">
        <v>911</v>
      </c>
      <c r="C45" s="6" t="n">
        <v>2026</v>
      </c>
      <c r="D45" s="6" t="s">
        <v>914</v>
      </c>
      <c r="E45" s="6" t="s">
        <v>367</v>
      </c>
      <c r="F45" s="6" t="s">
        <v>146</v>
      </c>
      <c r="G45" s="6" t="s">
        <v>146</v>
      </c>
      <c r="H45" s="6" t="n">
        <v>1</v>
      </c>
      <c r="I45" s="6"/>
      <c r="J45" s="6"/>
      <c r="K45" s="6"/>
      <c r="L45" s="6"/>
      <c r="M45" s="6"/>
      <c r="N45" s="6" t="s">
        <v>1100</v>
      </c>
      <c r="O45" s="6" t="s">
        <v>146</v>
      </c>
    </row>
    <row r="46" customFormat="false" ht="15" hidden="false" customHeight="false" outlineLevel="0" collapsed="false">
      <c r="A46" s="6" t="n">
        <v>43</v>
      </c>
      <c r="B46" s="6" t="s">
        <v>424</v>
      </c>
      <c r="C46" s="6" t="n">
        <v>2026</v>
      </c>
      <c r="D46" s="6" t="s">
        <v>427</v>
      </c>
      <c r="E46" s="6" t="s">
        <v>387</v>
      </c>
      <c r="F46" s="6" t="s">
        <v>146</v>
      </c>
      <c r="G46" s="6" t="s">
        <v>146</v>
      </c>
      <c r="H46" s="6" t="n">
        <v>1</v>
      </c>
      <c r="I46" s="6"/>
      <c r="J46" s="6" t="n">
        <v>1</v>
      </c>
      <c r="K46" s="6" t="n">
        <v>1</v>
      </c>
      <c r="L46" s="6" t="n">
        <v>1</v>
      </c>
      <c r="M46" s="6"/>
      <c r="N46" s="6" t="s">
        <v>1100</v>
      </c>
      <c r="O46" s="6" t="s">
        <v>146</v>
      </c>
    </row>
    <row r="47" customFormat="false" ht="15" hidden="false" customHeight="false" outlineLevel="0" collapsed="false">
      <c r="A47" s="6" t="n">
        <v>44</v>
      </c>
      <c r="B47" s="6" t="s">
        <v>490</v>
      </c>
      <c r="C47" s="6" t="n">
        <v>2026</v>
      </c>
      <c r="D47" s="6" t="s">
        <v>493</v>
      </c>
      <c r="E47" s="6" t="s">
        <v>494</v>
      </c>
      <c r="F47" s="6" t="s">
        <v>33</v>
      </c>
      <c r="G47" s="6" t="s">
        <v>146</v>
      </c>
      <c r="H47" s="6" t="n">
        <v>1</v>
      </c>
      <c r="I47" s="6"/>
      <c r="J47" s="6" t="n">
        <v>1</v>
      </c>
      <c r="K47" s="6"/>
      <c r="L47" s="6" t="n">
        <v>1</v>
      </c>
      <c r="M47" s="6" t="n">
        <v>1</v>
      </c>
      <c r="N47" s="6" t="s">
        <v>1101</v>
      </c>
      <c r="O47" s="6" t="s">
        <v>146</v>
      </c>
    </row>
    <row r="48" customFormat="false" ht="15" hidden="false" customHeight="false" outlineLevel="0" collapsed="false">
      <c r="A48" s="6" t="n">
        <v>45</v>
      </c>
      <c r="B48" s="6" t="s">
        <v>798</v>
      </c>
      <c r="C48" s="6" t="n">
        <v>2026</v>
      </c>
      <c r="D48" s="6" t="s">
        <v>801</v>
      </c>
      <c r="E48" s="6" t="s">
        <v>367</v>
      </c>
      <c r="F48" s="6" t="s">
        <v>33</v>
      </c>
      <c r="G48" s="6" t="s">
        <v>146</v>
      </c>
      <c r="H48" s="6"/>
      <c r="I48" s="6" t="n">
        <v>1</v>
      </c>
      <c r="J48" s="6" t="n">
        <v>1</v>
      </c>
      <c r="K48" s="6"/>
      <c r="L48" s="6" t="n">
        <v>1</v>
      </c>
      <c r="M48" s="6" t="n">
        <v>1</v>
      </c>
      <c r="N48" s="6" t="s">
        <v>1101</v>
      </c>
      <c r="O48" s="6" t="s">
        <v>146</v>
      </c>
    </row>
    <row r="49" customFormat="false" ht="15" hidden="false" customHeight="false" outlineLevel="0" collapsed="false">
      <c r="A49" s="6" t="n">
        <v>46</v>
      </c>
      <c r="B49" s="6" t="s">
        <v>1188</v>
      </c>
      <c r="C49" s="6" t="n">
        <v>2026</v>
      </c>
      <c r="D49" s="6" t="s">
        <v>1189</v>
      </c>
      <c r="E49" s="6" t="s">
        <v>367</v>
      </c>
      <c r="F49" s="6" t="s">
        <v>146</v>
      </c>
      <c r="G49" s="6" t="s">
        <v>147</v>
      </c>
      <c r="H49" s="6"/>
      <c r="I49" s="6"/>
      <c r="J49" s="6" t="n">
        <v>1</v>
      </c>
      <c r="K49" s="6"/>
      <c r="L49" s="6" t="n">
        <v>1</v>
      </c>
      <c r="M49" s="6" t="n">
        <v>1</v>
      </c>
      <c r="N49" s="6" t="s">
        <v>1183</v>
      </c>
      <c r="O49" s="6" t="s">
        <v>147</v>
      </c>
    </row>
    <row r="50" customFormat="false" ht="15" hidden="false" customHeight="false" outlineLevel="0" collapsed="false">
      <c r="A50" s="6" t="n">
        <v>47</v>
      </c>
      <c r="B50" s="6" t="s">
        <v>1190</v>
      </c>
      <c r="C50" s="6" t="n">
        <v>2026</v>
      </c>
      <c r="D50" s="6" t="s">
        <v>1191</v>
      </c>
      <c r="E50" s="6" t="s">
        <v>1124</v>
      </c>
      <c r="F50" s="6" t="s">
        <v>33</v>
      </c>
      <c r="G50" s="6" t="s">
        <v>147</v>
      </c>
      <c r="H50" s="6"/>
      <c r="I50" s="6" t="n">
        <v>1</v>
      </c>
      <c r="J50" s="6"/>
      <c r="K50" s="6"/>
      <c r="L50" s="6" t="n">
        <v>1</v>
      </c>
      <c r="M50" s="6"/>
      <c r="N50" s="6" t="s">
        <v>1100</v>
      </c>
      <c r="O50" s="6" t="s">
        <v>147</v>
      </c>
    </row>
    <row r="51" customFormat="false" ht="15" hidden="false" customHeight="false" outlineLevel="0" collapsed="false">
      <c r="A51" s="6" t="n">
        <v>48</v>
      </c>
      <c r="B51" s="6" t="s">
        <v>682</v>
      </c>
      <c r="C51" s="6" t="n">
        <v>2026</v>
      </c>
      <c r="D51" s="6" t="s">
        <v>685</v>
      </c>
      <c r="E51" s="6" t="s">
        <v>686</v>
      </c>
      <c r="F51" s="6" t="s">
        <v>33</v>
      </c>
      <c r="G51" s="6" t="s">
        <v>146</v>
      </c>
      <c r="H51" s="6"/>
      <c r="I51" s="6" t="n">
        <v>1</v>
      </c>
      <c r="J51" s="6" t="n">
        <v>1</v>
      </c>
      <c r="K51" s="6"/>
      <c r="L51" s="6" t="n">
        <v>1</v>
      </c>
      <c r="M51" s="6" t="n">
        <v>1</v>
      </c>
      <c r="N51" s="6" t="s">
        <v>1101</v>
      </c>
      <c r="O51" s="6" t="s">
        <v>146</v>
      </c>
    </row>
    <row r="52" customFormat="false" ht="15" hidden="false" customHeight="false" outlineLevel="0" collapsed="false">
      <c r="A52" s="6" t="n">
        <v>49</v>
      </c>
      <c r="B52" s="6" t="s">
        <v>948</v>
      </c>
      <c r="C52" s="6" t="n">
        <v>2026</v>
      </c>
      <c r="D52" s="6" t="s">
        <v>950</v>
      </c>
      <c r="E52" s="6" t="s">
        <v>951</v>
      </c>
      <c r="F52" s="6" t="s">
        <v>146</v>
      </c>
      <c r="G52" s="6" t="s">
        <v>146</v>
      </c>
      <c r="H52" s="6"/>
      <c r="I52" s="6" t="n">
        <v>1</v>
      </c>
      <c r="J52" s="6" t="n">
        <v>1</v>
      </c>
      <c r="K52" s="6"/>
      <c r="L52" s="6" t="n">
        <v>1</v>
      </c>
      <c r="M52" s="6"/>
      <c r="N52" s="6" t="s">
        <v>1100</v>
      </c>
      <c r="O52" s="6" t="s">
        <v>146</v>
      </c>
    </row>
    <row r="53" customFormat="false" ht="15" hidden="false" customHeight="false" outlineLevel="0" collapsed="false">
      <c r="A53" s="6" t="n">
        <v>50</v>
      </c>
      <c r="B53" s="6" t="s">
        <v>1192</v>
      </c>
      <c r="C53" s="6" t="n">
        <v>2026</v>
      </c>
      <c r="D53" s="6" t="s">
        <v>1193</v>
      </c>
      <c r="E53" s="6" t="s">
        <v>1159</v>
      </c>
      <c r="F53" s="6" t="s">
        <v>33</v>
      </c>
      <c r="G53" s="6" t="s">
        <v>147</v>
      </c>
      <c r="H53" s="6"/>
      <c r="I53" s="6" t="n">
        <v>1</v>
      </c>
      <c r="J53" s="6"/>
      <c r="K53" s="6"/>
      <c r="L53" s="6" t="n">
        <v>1</v>
      </c>
      <c r="M53" s="6"/>
      <c r="N53" s="6" t="s">
        <v>1100</v>
      </c>
      <c r="O53" s="6" t="s">
        <v>147</v>
      </c>
    </row>
    <row r="54" customFormat="false" ht="15" hidden="false" customHeight="false" outlineLevel="0" collapsed="false">
      <c r="A54" s="6" t="n">
        <v>51</v>
      </c>
      <c r="B54" s="6" t="s">
        <v>1194</v>
      </c>
      <c r="C54" s="6" t="n">
        <v>2026</v>
      </c>
      <c r="D54" s="6" t="s">
        <v>1195</v>
      </c>
      <c r="E54" s="6" t="s">
        <v>1196</v>
      </c>
      <c r="F54" s="6" t="s">
        <v>33</v>
      </c>
      <c r="G54" s="6" t="s">
        <v>147</v>
      </c>
      <c r="H54" s="6"/>
      <c r="I54" s="6"/>
      <c r="J54" s="6"/>
      <c r="K54" s="6"/>
      <c r="L54" s="6" t="n">
        <v>1</v>
      </c>
      <c r="M54" s="6"/>
      <c r="N54" s="6" t="s">
        <v>1100</v>
      </c>
      <c r="O54" s="6" t="s">
        <v>147</v>
      </c>
    </row>
    <row r="55" customFormat="false" ht="15" hidden="false" customHeight="false" outlineLevel="0" collapsed="false">
      <c r="A55" s="6" t="n">
        <v>52</v>
      </c>
      <c r="B55" s="6" t="s">
        <v>1197</v>
      </c>
      <c r="C55" s="6" t="n">
        <v>2026</v>
      </c>
      <c r="D55" s="6" t="s">
        <v>1198</v>
      </c>
      <c r="E55" s="6" t="s">
        <v>1104</v>
      </c>
      <c r="F55" s="6" t="s">
        <v>33</v>
      </c>
      <c r="G55" s="6" t="s">
        <v>147</v>
      </c>
      <c r="H55" s="6"/>
      <c r="I55" s="6"/>
      <c r="J55" s="6"/>
      <c r="K55" s="6"/>
      <c r="L55" s="6"/>
      <c r="M55" s="6"/>
      <c r="N55" s="6" t="s">
        <v>1100</v>
      </c>
      <c r="O55" s="6" t="s">
        <v>147</v>
      </c>
    </row>
    <row r="56" customFormat="false" ht="15" hidden="false" customHeight="false" outlineLevel="0" collapsed="false">
      <c r="A56" s="6" t="n">
        <v>53</v>
      </c>
      <c r="B56" s="6" t="s">
        <v>1199</v>
      </c>
      <c r="C56" s="6" t="n">
        <v>2026</v>
      </c>
      <c r="D56" s="6" t="s">
        <v>1200</v>
      </c>
      <c r="E56" s="6" t="s">
        <v>1201</v>
      </c>
      <c r="F56" s="6" t="s">
        <v>33</v>
      </c>
      <c r="G56" s="6" t="s">
        <v>147</v>
      </c>
      <c r="H56" s="6"/>
      <c r="I56" s="6"/>
      <c r="J56" s="6"/>
      <c r="K56" s="6"/>
      <c r="L56" s="6"/>
      <c r="M56" s="6"/>
      <c r="N56" s="6" t="s">
        <v>1100</v>
      </c>
      <c r="O56" s="6" t="s">
        <v>147</v>
      </c>
    </row>
    <row r="57" customFormat="false" ht="15" hidden="false" customHeight="false" outlineLevel="0" collapsed="false">
      <c r="A57" s="6" t="n">
        <v>54</v>
      </c>
      <c r="B57" s="6" t="s">
        <v>1202</v>
      </c>
      <c r="C57" s="6" t="n">
        <v>2026</v>
      </c>
      <c r="D57" s="6" t="s">
        <v>1203</v>
      </c>
      <c r="E57" s="6" t="s">
        <v>1204</v>
      </c>
      <c r="F57" s="6" t="s">
        <v>33</v>
      </c>
      <c r="G57" s="6" t="s">
        <v>147</v>
      </c>
      <c r="H57" s="6"/>
      <c r="I57" s="6"/>
      <c r="J57" s="6"/>
      <c r="K57" s="6"/>
      <c r="L57" s="6" t="n">
        <v>1</v>
      </c>
      <c r="M57" s="6"/>
      <c r="N57" s="6" t="s">
        <v>1100</v>
      </c>
      <c r="O57" s="6" t="s">
        <v>147</v>
      </c>
    </row>
    <row r="58" customFormat="false" ht="15" hidden="false" customHeight="false" outlineLevel="0" collapsed="false">
      <c r="A58" s="6" t="n">
        <v>55</v>
      </c>
      <c r="B58" s="6" t="s">
        <v>1205</v>
      </c>
      <c r="C58" s="6" t="n">
        <v>2026</v>
      </c>
      <c r="D58" s="6" t="s">
        <v>1206</v>
      </c>
      <c r="E58" s="6" t="s">
        <v>1110</v>
      </c>
      <c r="F58" s="6" t="s">
        <v>33</v>
      </c>
      <c r="G58" s="6" t="s">
        <v>147</v>
      </c>
      <c r="H58" s="6"/>
      <c r="I58" s="6"/>
      <c r="J58" s="6" t="n">
        <v>1</v>
      </c>
      <c r="K58" s="6"/>
      <c r="L58" s="6"/>
      <c r="M58" s="6"/>
      <c r="N58" s="6" t="s">
        <v>1100</v>
      </c>
      <c r="O58" s="6" t="s">
        <v>147</v>
      </c>
    </row>
    <row r="59" customFormat="false" ht="15" hidden="false" customHeight="false" outlineLevel="0" collapsed="false">
      <c r="A59" s="6" t="n">
        <v>56</v>
      </c>
      <c r="B59" s="6" t="s">
        <v>1207</v>
      </c>
      <c r="C59" s="6" t="n">
        <v>2026</v>
      </c>
      <c r="D59" s="6" t="s">
        <v>1208</v>
      </c>
      <c r="E59" s="6" t="s">
        <v>1209</v>
      </c>
      <c r="F59" s="6" t="s">
        <v>33</v>
      </c>
      <c r="G59" s="6" t="s">
        <v>147</v>
      </c>
      <c r="H59" s="6"/>
      <c r="I59" s="6" t="n">
        <v>1</v>
      </c>
      <c r="J59" s="6"/>
      <c r="K59" s="6"/>
      <c r="L59" s="6" t="n">
        <v>1</v>
      </c>
      <c r="M59" s="6"/>
      <c r="N59" s="6" t="s">
        <v>1100</v>
      </c>
      <c r="O59" s="6" t="s">
        <v>147</v>
      </c>
    </row>
    <row r="60" customFormat="false" ht="15" hidden="false" customHeight="false" outlineLevel="0" collapsed="false">
      <c r="A60" s="6" t="n">
        <v>57</v>
      </c>
      <c r="B60" s="6" t="s">
        <v>1210</v>
      </c>
      <c r="C60" s="6" t="n">
        <v>2026</v>
      </c>
      <c r="D60" s="6" t="s">
        <v>1211</v>
      </c>
      <c r="E60" s="6" t="s">
        <v>1212</v>
      </c>
      <c r="F60" s="6" t="s">
        <v>34</v>
      </c>
      <c r="G60" s="6" t="s">
        <v>146</v>
      </c>
      <c r="H60" s="6"/>
      <c r="I60" s="6" t="n">
        <v>1</v>
      </c>
      <c r="J60" s="6" t="n">
        <v>1</v>
      </c>
      <c r="K60" s="6"/>
      <c r="L60" s="6" t="n">
        <v>1</v>
      </c>
      <c r="M60" s="6" t="n">
        <v>1</v>
      </c>
      <c r="N60" s="6" t="s">
        <v>1165</v>
      </c>
      <c r="O60" s="6" t="s">
        <v>147</v>
      </c>
    </row>
    <row r="61" customFormat="false" ht="15" hidden="false" customHeight="false" outlineLevel="0" collapsed="false">
      <c r="A61" s="6" t="n">
        <v>58</v>
      </c>
      <c r="B61" s="6" t="s">
        <v>1213</v>
      </c>
      <c r="C61" s="6" t="n">
        <v>2026</v>
      </c>
      <c r="D61" s="6" t="s">
        <v>1214</v>
      </c>
      <c r="E61" s="6" t="s">
        <v>1215</v>
      </c>
      <c r="F61" s="6" t="s">
        <v>33</v>
      </c>
      <c r="G61" s="6" t="s">
        <v>147</v>
      </c>
      <c r="H61" s="6"/>
      <c r="I61" s="6"/>
      <c r="J61" s="6"/>
      <c r="K61" s="6"/>
      <c r="L61" s="6" t="n">
        <v>1</v>
      </c>
      <c r="M61" s="6"/>
      <c r="N61" s="6" t="s">
        <v>1100</v>
      </c>
      <c r="O61" s="6" t="s">
        <v>147</v>
      </c>
    </row>
    <row r="62" customFormat="false" ht="15" hidden="false" customHeight="false" outlineLevel="0" collapsed="false">
      <c r="A62" s="6" t="n">
        <v>59</v>
      </c>
      <c r="B62" s="6" t="s">
        <v>1216</v>
      </c>
      <c r="C62" s="6" t="n">
        <v>2026</v>
      </c>
      <c r="D62" s="6" t="s">
        <v>1217</v>
      </c>
      <c r="E62" s="6" t="s">
        <v>1218</v>
      </c>
      <c r="F62" s="6" t="s">
        <v>146</v>
      </c>
      <c r="G62" s="6" t="s">
        <v>147</v>
      </c>
      <c r="H62" s="6"/>
      <c r="I62" s="6"/>
      <c r="J62" s="6" t="n">
        <v>1</v>
      </c>
      <c r="K62" s="6"/>
      <c r="L62" s="6"/>
      <c r="M62" s="6" t="n">
        <v>1</v>
      </c>
      <c r="N62" s="6" t="s">
        <v>1183</v>
      </c>
      <c r="O62" s="6" t="s">
        <v>147</v>
      </c>
    </row>
    <row r="63" customFormat="false" ht="15" hidden="false" customHeight="false" outlineLevel="0" collapsed="false">
      <c r="A63" s="6" t="n">
        <v>60</v>
      </c>
      <c r="B63" s="6" t="s">
        <v>1047</v>
      </c>
      <c r="C63" s="6" t="n">
        <v>2026</v>
      </c>
      <c r="D63" s="6" t="s">
        <v>1050</v>
      </c>
      <c r="E63" s="6" t="s">
        <v>703</v>
      </c>
      <c r="F63" s="6" t="s">
        <v>146</v>
      </c>
      <c r="G63" s="6" t="s">
        <v>146</v>
      </c>
      <c r="H63" s="6" t="n">
        <v>1</v>
      </c>
      <c r="I63" s="6"/>
      <c r="J63" s="6"/>
      <c r="K63" s="6" t="n">
        <v>1</v>
      </c>
      <c r="L63" s="6" t="n">
        <v>1</v>
      </c>
      <c r="M63" s="6"/>
      <c r="N63" s="6" t="s">
        <v>1100</v>
      </c>
      <c r="O63" s="6" t="s">
        <v>146</v>
      </c>
    </row>
    <row r="64" customFormat="false" ht="15" hidden="false" customHeight="false" outlineLevel="0" collapsed="false">
      <c r="A64" s="6" t="n">
        <v>61</v>
      </c>
      <c r="B64" s="6" t="s">
        <v>1219</v>
      </c>
      <c r="C64" s="6" t="n">
        <v>2026</v>
      </c>
      <c r="D64" s="6" t="s">
        <v>1220</v>
      </c>
      <c r="E64" s="6" t="s">
        <v>1221</v>
      </c>
      <c r="F64" s="6" t="s">
        <v>33</v>
      </c>
      <c r="G64" s="6" t="s">
        <v>147</v>
      </c>
      <c r="H64" s="6"/>
      <c r="I64" s="6" t="n">
        <v>1</v>
      </c>
      <c r="J64" s="6"/>
      <c r="K64" s="6"/>
      <c r="L64" s="6" t="n">
        <v>1</v>
      </c>
      <c r="M64" s="6"/>
      <c r="N64" s="6" t="s">
        <v>1100</v>
      </c>
      <c r="O64" s="6" t="s">
        <v>147</v>
      </c>
    </row>
    <row r="65" customFormat="false" ht="15" hidden="false" customHeight="false" outlineLevel="0" collapsed="false">
      <c r="A65" s="6" t="n">
        <v>62</v>
      </c>
      <c r="B65" s="6" t="s">
        <v>517</v>
      </c>
      <c r="C65" s="6" t="n">
        <v>2026</v>
      </c>
      <c r="D65" s="6" t="s">
        <v>520</v>
      </c>
      <c r="E65" s="6" t="s">
        <v>521</v>
      </c>
      <c r="F65" s="6" t="s">
        <v>146</v>
      </c>
      <c r="G65" s="6" t="s">
        <v>146</v>
      </c>
      <c r="H65" s="6"/>
      <c r="I65" s="6" t="n">
        <v>1</v>
      </c>
      <c r="J65" s="6" t="n">
        <v>1</v>
      </c>
      <c r="K65" s="6"/>
      <c r="L65" s="6" t="n">
        <v>1</v>
      </c>
      <c r="M65" s="6"/>
      <c r="N65" s="6" t="s">
        <v>1100</v>
      </c>
      <c r="O65" s="6" t="s">
        <v>146</v>
      </c>
    </row>
    <row r="66" customFormat="false" ht="15" hidden="false" customHeight="false" outlineLevel="0" collapsed="false">
      <c r="A66" s="6" t="n">
        <v>63</v>
      </c>
      <c r="B66" s="6" t="s">
        <v>724</v>
      </c>
      <c r="C66" s="6" t="n">
        <v>2026</v>
      </c>
      <c r="D66" s="6" t="s">
        <v>727</v>
      </c>
      <c r="E66" s="6" t="s">
        <v>728</v>
      </c>
      <c r="F66" s="6" t="s">
        <v>146</v>
      </c>
      <c r="G66" s="6" t="s">
        <v>147</v>
      </c>
      <c r="H66" s="6"/>
      <c r="I66" s="6"/>
      <c r="J66" s="6" t="n">
        <v>1</v>
      </c>
      <c r="K66" s="6" t="n">
        <v>1</v>
      </c>
      <c r="L66" s="6" t="n">
        <v>1</v>
      </c>
      <c r="M66" s="6" t="n">
        <v>1</v>
      </c>
      <c r="N66" s="6" t="s">
        <v>1187</v>
      </c>
      <c r="O66" s="6" t="s">
        <v>146</v>
      </c>
    </row>
    <row r="67" customFormat="false" ht="15" hidden="false" customHeight="false" outlineLevel="0" collapsed="false">
      <c r="A67" s="6" t="n">
        <v>64</v>
      </c>
      <c r="B67" s="6" t="s">
        <v>1222</v>
      </c>
      <c r="C67" s="6" t="n">
        <v>2026</v>
      </c>
      <c r="D67" s="6" t="s">
        <v>1223</v>
      </c>
      <c r="E67" s="6" t="s">
        <v>1174</v>
      </c>
      <c r="F67" s="6" t="s">
        <v>146</v>
      </c>
      <c r="G67" s="6" t="s">
        <v>147</v>
      </c>
      <c r="H67" s="6"/>
      <c r="I67" s="6"/>
      <c r="J67" s="6"/>
      <c r="K67" s="6"/>
      <c r="L67" s="6" t="n">
        <v>1</v>
      </c>
      <c r="M67" s="6" t="n">
        <v>1</v>
      </c>
      <c r="N67" s="6" t="s">
        <v>1183</v>
      </c>
      <c r="O67" s="6" t="s">
        <v>147</v>
      </c>
    </row>
    <row r="68" customFormat="false" ht="15" hidden="false" customHeight="false" outlineLevel="0" collapsed="false">
      <c r="A68" s="6" t="n">
        <v>65</v>
      </c>
      <c r="B68" s="6" t="s">
        <v>1224</v>
      </c>
      <c r="C68" s="6" t="n">
        <v>2026</v>
      </c>
      <c r="D68" s="6" t="s">
        <v>1225</v>
      </c>
      <c r="E68" s="6" t="s">
        <v>1226</v>
      </c>
      <c r="F68" s="6" t="s">
        <v>33</v>
      </c>
      <c r="G68" s="6" t="s">
        <v>147</v>
      </c>
      <c r="H68" s="6"/>
      <c r="I68" s="6"/>
      <c r="J68" s="6"/>
      <c r="K68" s="6"/>
      <c r="L68" s="6"/>
      <c r="M68" s="6"/>
      <c r="N68" s="6" t="s">
        <v>1100</v>
      </c>
      <c r="O68" s="6" t="s">
        <v>147</v>
      </c>
    </row>
    <row r="69" customFormat="false" ht="15" hidden="false" customHeight="false" outlineLevel="0" collapsed="false">
      <c r="A69" s="6" t="n">
        <v>66</v>
      </c>
      <c r="B69" s="6" t="s">
        <v>630</v>
      </c>
      <c r="C69" s="6" t="n">
        <v>2026</v>
      </c>
      <c r="D69" s="6" t="s">
        <v>633</v>
      </c>
      <c r="E69" s="6" t="s">
        <v>634</v>
      </c>
      <c r="F69" s="6" t="s">
        <v>146</v>
      </c>
      <c r="G69" s="6" t="s">
        <v>146</v>
      </c>
      <c r="H69" s="6" t="n">
        <v>1</v>
      </c>
      <c r="I69" s="6" t="n">
        <v>1</v>
      </c>
      <c r="J69" s="6" t="n">
        <v>1</v>
      </c>
      <c r="K69" s="6" t="n">
        <v>1</v>
      </c>
      <c r="L69" s="6" t="n">
        <v>1</v>
      </c>
      <c r="M69" s="6"/>
      <c r="N69" s="6" t="s">
        <v>1100</v>
      </c>
      <c r="O69" s="6" t="s">
        <v>146</v>
      </c>
    </row>
    <row r="70" customFormat="false" ht="15" hidden="false" customHeight="false" outlineLevel="0" collapsed="false">
      <c r="A70" s="6" t="n">
        <v>67</v>
      </c>
      <c r="B70" s="6" t="s">
        <v>544</v>
      </c>
      <c r="C70" s="6" t="n">
        <v>2026</v>
      </c>
      <c r="D70" s="6" t="s">
        <v>547</v>
      </c>
      <c r="E70" s="6" t="s">
        <v>351</v>
      </c>
      <c r="F70" s="6" t="s">
        <v>146</v>
      </c>
      <c r="G70" s="6" t="s">
        <v>147</v>
      </c>
      <c r="H70" s="6"/>
      <c r="I70" s="6"/>
      <c r="J70" s="6"/>
      <c r="K70" s="6" t="n">
        <v>1</v>
      </c>
      <c r="L70" s="6" t="n">
        <v>1</v>
      </c>
      <c r="M70" s="6" t="n">
        <v>1</v>
      </c>
      <c r="N70" s="6" t="s">
        <v>1187</v>
      </c>
      <c r="O70" s="6" t="s">
        <v>146</v>
      </c>
    </row>
    <row r="71" customFormat="false" ht="15" hidden="false" customHeight="false" outlineLevel="0" collapsed="false">
      <c r="A71" s="6" t="n">
        <v>68</v>
      </c>
      <c r="B71" s="6" t="s">
        <v>1227</v>
      </c>
      <c r="C71" s="6" t="n">
        <v>2026</v>
      </c>
      <c r="D71" s="6" t="s">
        <v>1228</v>
      </c>
      <c r="E71" s="6" t="s">
        <v>553</v>
      </c>
      <c r="F71" s="6" t="s">
        <v>33</v>
      </c>
      <c r="G71" s="6" t="s">
        <v>146</v>
      </c>
      <c r="H71" s="6"/>
      <c r="I71" s="6" t="n">
        <v>1</v>
      </c>
      <c r="J71" s="6" t="n">
        <v>1</v>
      </c>
      <c r="K71" s="6"/>
      <c r="L71" s="6"/>
      <c r="M71" s="6" t="n">
        <v>1</v>
      </c>
      <c r="N71" s="6" t="s">
        <v>1183</v>
      </c>
      <c r="O71" s="6" t="s">
        <v>147</v>
      </c>
    </row>
    <row r="72" customFormat="false" ht="15" hidden="false" customHeight="false" outlineLevel="0" collapsed="false">
      <c r="A72" s="6" t="n">
        <v>69</v>
      </c>
      <c r="B72" s="6" t="s">
        <v>1229</v>
      </c>
      <c r="C72" s="6" t="n">
        <v>2026</v>
      </c>
      <c r="D72" s="6" t="s">
        <v>1230</v>
      </c>
      <c r="E72" s="6" t="s">
        <v>1231</v>
      </c>
      <c r="F72" s="6" t="s">
        <v>33</v>
      </c>
      <c r="G72" s="6" t="s">
        <v>147</v>
      </c>
      <c r="H72" s="6"/>
      <c r="I72" s="6" t="n">
        <v>1</v>
      </c>
      <c r="J72" s="6"/>
      <c r="K72" s="6"/>
      <c r="L72" s="6" t="n">
        <v>1</v>
      </c>
      <c r="M72" s="6"/>
      <c r="N72" s="6" t="s">
        <v>1100</v>
      </c>
      <c r="O72" s="6" t="s">
        <v>147</v>
      </c>
    </row>
    <row r="73" customFormat="false" ht="15" hidden="false" customHeight="false" outlineLevel="0" collapsed="false">
      <c r="A73" s="6" t="n">
        <v>70</v>
      </c>
      <c r="B73" s="6" t="s">
        <v>1232</v>
      </c>
      <c r="C73" s="6" t="n">
        <v>2026</v>
      </c>
      <c r="D73" s="6" t="s">
        <v>1233</v>
      </c>
      <c r="E73" s="6" t="s">
        <v>267</v>
      </c>
      <c r="F73" s="6" t="s">
        <v>33</v>
      </c>
      <c r="G73" s="6" t="s">
        <v>147</v>
      </c>
      <c r="H73" s="6"/>
      <c r="I73" s="6" t="n">
        <v>1</v>
      </c>
      <c r="J73" s="6"/>
      <c r="K73" s="6"/>
      <c r="L73" s="6" t="n">
        <v>1</v>
      </c>
      <c r="M73" s="6"/>
      <c r="N73" s="6" t="s">
        <v>1100</v>
      </c>
      <c r="O73" s="6" t="s">
        <v>147</v>
      </c>
    </row>
    <row r="74" customFormat="false" ht="15" hidden="false" customHeight="false" outlineLevel="0" collapsed="false">
      <c r="A74" s="6" t="n">
        <v>71</v>
      </c>
      <c r="B74" s="6" t="s">
        <v>1234</v>
      </c>
      <c r="C74" s="6" t="n">
        <v>2026</v>
      </c>
      <c r="D74" s="6" t="s">
        <v>1235</v>
      </c>
      <c r="E74" s="6" t="s">
        <v>1236</v>
      </c>
      <c r="F74" s="6" t="s">
        <v>33</v>
      </c>
      <c r="G74" s="6" t="s">
        <v>147</v>
      </c>
      <c r="H74" s="6"/>
      <c r="I74" s="6" t="n">
        <v>1</v>
      </c>
      <c r="J74" s="6"/>
      <c r="K74" s="6"/>
      <c r="L74" s="6" t="n">
        <v>1</v>
      </c>
      <c r="M74" s="6"/>
      <c r="N74" s="6" t="s">
        <v>1100</v>
      </c>
      <c r="O74" s="6" t="s">
        <v>147</v>
      </c>
    </row>
    <row r="75" customFormat="false" ht="15" hidden="false" customHeight="false" outlineLevel="0" collapsed="false">
      <c r="A75" s="6" t="n">
        <v>72</v>
      </c>
      <c r="B75" s="6" t="s">
        <v>340</v>
      </c>
      <c r="C75" s="6" t="n">
        <v>2026</v>
      </c>
      <c r="D75" s="6" t="s">
        <v>343</v>
      </c>
      <c r="E75" s="6" t="s">
        <v>344</v>
      </c>
      <c r="F75" s="6" t="s">
        <v>146</v>
      </c>
      <c r="G75" s="6" t="s">
        <v>146</v>
      </c>
      <c r="H75" s="6"/>
      <c r="I75" s="6" t="n">
        <v>1</v>
      </c>
      <c r="J75" s="6" t="n">
        <v>1</v>
      </c>
      <c r="K75" s="6"/>
      <c r="L75" s="6" t="n">
        <v>1</v>
      </c>
      <c r="M75" s="6"/>
      <c r="N75" s="6" t="s">
        <v>1100</v>
      </c>
      <c r="O75" s="6" t="s">
        <v>146</v>
      </c>
    </row>
    <row r="76" customFormat="false" ht="15" hidden="false" customHeight="false" outlineLevel="0" collapsed="false">
      <c r="A76" s="6" t="n">
        <v>73</v>
      </c>
      <c r="B76" s="6" t="s">
        <v>1237</v>
      </c>
      <c r="C76" s="6" t="n">
        <v>2026</v>
      </c>
      <c r="D76" s="6" t="s">
        <v>1238</v>
      </c>
      <c r="E76" s="6" t="s">
        <v>1239</v>
      </c>
      <c r="F76" s="6" t="s">
        <v>33</v>
      </c>
      <c r="G76" s="6" t="s">
        <v>147</v>
      </c>
      <c r="H76" s="6"/>
      <c r="I76" s="6"/>
      <c r="J76" s="6"/>
      <c r="K76" s="6"/>
      <c r="L76" s="6" t="n">
        <v>1</v>
      </c>
      <c r="M76" s="6"/>
      <c r="N76" s="6" t="s">
        <v>1100</v>
      </c>
      <c r="O76" s="6" t="s">
        <v>147</v>
      </c>
    </row>
    <row r="77" customFormat="false" ht="15" hidden="false" customHeight="false" outlineLevel="0" collapsed="false">
      <c r="A77" s="6" t="n">
        <v>74</v>
      </c>
      <c r="B77" s="6" t="s">
        <v>1240</v>
      </c>
      <c r="C77" s="6" t="n">
        <v>2026</v>
      </c>
      <c r="D77" s="6" t="s">
        <v>1241</v>
      </c>
      <c r="E77" s="6" t="s">
        <v>1242</v>
      </c>
      <c r="F77" s="6" t="s">
        <v>33</v>
      </c>
      <c r="G77" s="6" t="s">
        <v>146</v>
      </c>
      <c r="H77" s="6" t="n">
        <v>1</v>
      </c>
      <c r="I77" s="6"/>
      <c r="J77" s="6"/>
      <c r="K77" s="6"/>
      <c r="L77" s="6" t="n">
        <v>1</v>
      </c>
      <c r="M77" s="6" t="n">
        <v>1</v>
      </c>
      <c r="N77" s="6" t="s">
        <v>1183</v>
      </c>
      <c r="O77" s="6" t="s">
        <v>147</v>
      </c>
    </row>
    <row r="78" customFormat="false" ht="15" hidden="false" customHeight="false" outlineLevel="0" collapsed="false">
      <c r="A78" s="6" t="n">
        <v>75</v>
      </c>
      <c r="B78" s="6" t="s">
        <v>1243</v>
      </c>
      <c r="C78" s="6" t="n">
        <v>2026</v>
      </c>
      <c r="D78" s="6" t="s">
        <v>1244</v>
      </c>
      <c r="E78" s="6" t="s">
        <v>1245</v>
      </c>
      <c r="F78" s="6" t="s">
        <v>34</v>
      </c>
      <c r="G78" s="6" t="s">
        <v>146</v>
      </c>
      <c r="H78" s="6" t="n">
        <v>1</v>
      </c>
      <c r="I78" s="6" t="n">
        <v>1</v>
      </c>
      <c r="J78" s="6" t="n">
        <v>1</v>
      </c>
      <c r="K78" s="6"/>
      <c r="L78" s="6" t="n">
        <v>1</v>
      </c>
      <c r="M78" s="6" t="n">
        <v>1</v>
      </c>
      <c r="N78" s="6" t="s">
        <v>1165</v>
      </c>
      <c r="O78" s="6" t="s">
        <v>147</v>
      </c>
    </row>
    <row r="79" customFormat="false" ht="15" hidden="false" customHeight="false" outlineLevel="0" collapsed="false">
      <c r="A79" s="6" t="n">
        <v>76</v>
      </c>
      <c r="B79" s="6" t="s">
        <v>473</v>
      </c>
      <c r="C79" s="6" t="n">
        <v>2026</v>
      </c>
      <c r="D79" s="6" t="s">
        <v>476</v>
      </c>
      <c r="E79" s="6" t="s">
        <v>374</v>
      </c>
      <c r="F79" s="6" t="s">
        <v>146</v>
      </c>
      <c r="G79" s="6" t="s">
        <v>146</v>
      </c>
      <c r="H79" s="6" t="n">
        <v>1</v>
      </c>
      <c r="I79" s="6" t="n">
        <v>1</v>
      </c>
      <c r="J79" s="6" t="n">
        <v>1</v>
      </c>
      <c r="K79" s="6"/>
      <c r="L79" s="6"/>
      <c r="M79" s="6"/>
      <c r="N79" s="6" t="s">
        <v>1100</v>
      </c>
      <c r="O79" s="6" t="s">
        <v>146</v>
      </c>
    </row>
    <row r="80" customFormat="false" ht="15" hidden="false" customHeight="false" outlineLevel="0" collapsed="false">
      <c r="A80" s="6" t="n">
        <v>77</v>
      </c>
      <c r="B80" s="6" t="s">
        <v>1246</v>
      </c>
      <c r="C80" s="6" t="n">
        <v>2026</v>
      </c>
      <c r="D80" s="6" t="s">
        <v>1247</v>
      </c>
      <c r="E80" s="6" t="s">
        <v>1248</v>
      </c>
      <c r="F80" s="6" t="s">
        <v>33</v>
      </c>
      <c r="G80" s="6" t="s">
        <v>147</v>
      </c>
      <c r="H80" s="6"/>
      <c r="I80" s="6" t="n">
        <v>1</v>
      </c>
      <c r="J80" s="6"/>
      <c r="K80" s="6"/>
      <c r="L80" s="6" t="n">
        <v>1</v>
      </c>
      <c r="M80" s="6"/>
      <c r="N80" s="6" t="s">
        <v>1100</v>
      </c>
      <c r="O80" s="6" t="s">
        <v>147</v>
      </c>
    </row>
    <row r="81" customFormat="false" ht="15" hidden="false" customHeight="false" outlineLevel="0" collapsed="false">
      <c r="A81" s="6" t="n">
        <v>78</v>
      </c>
      <c r="B81" s="6" t="s">
        <v>1249</v>
      </c>
      <c r="C81" s="6" t="n">
        <v>2026</v>
      </c>
      <c r="D81" s="6" t="s">
        <v>1250</v>
      </c>
      <c r="E81" s="6" t="s">
        <v>1251</v>
      </c>
      <c r="F81" s="6" t="s">
        <v>33</v>
      </c>
      <c r="G81" s="6" t="s">
        <v>147</v>
      </c>
      <c r="H81" s="6"/>
      <c r="I81" s="6"/>
      <c r="J81" s="6" t="n">
        <v>1</v>
      </c>
      <c r="K81" s="6"/>
      <c r="L81" s="6" t="n">
        <v>1</v>
      </c>
      <c r="M81" s="6"/>
      <c r="N81" s="6" t="s">
        <v>1100</v>
      </c>
      <c r="O81" s="6" t="s">
        <v>147</v>
      </c>
    </row>
    <row r="82" customFormat="false" ht="15" hidden="false" customHeight="false" outlineLevel="0" collapsed="false">
      <c r="A82" s="6" t="n">
        <v>79</v>
      </c>
      <c r="B82" s="6" t="s">
        <v>932</v>
      </c>
      <c r="C82" s="6" t="n">
        <v>2026</v>
      </c>
      <c r="D82" s="6" t="s">
        <v>935</v>
      </c>
      <c r="E82" s="6" t="s">
        <v>861</v>
      </c>
      <c r="F82" s="6" t="s">
        <v>146</v>
      </c>
      <c r="G82" s="6" t="s">
        <v>146</v>
      </c>
      <c r="H82" s="6"/>
      <c r="I82" s="6" t="n">
        <v>1</v>
      </c>
      <c r="J82" s="6" t="n">
        <v>1</v>
      </c>
      <c r="K82" s="6" t="n">
        <v>1</v>
      </c>
      <c r="L82" s="6" t="n">
        <v>1</v>
      </c>
      <c r="M82" s="6"/>
      <c r="N82" s="6" t="s">
        <v>1100</v>
      </c>
      <c r="O82" s="6" t="s">
        <v>146</v>
      </c>
    </row>
    <row r="83" customFormat="false" ht="15" hidden="false" customHeight="false" outlineLevel="0" collapsed="false">
      <c r="A83" s="6" t="n">
        <v>80</v>
      </c>
      <c r="B83" s="6" t="s">
        <v>857</v>
      </c>
      <c r="C83" s="6" t="n">
        <v>2026</v>
      </c>
      <c r="D83" s="6" t="s">
        <v>860</v>
      </c>
      <c r="E83" s="6" t="s">
        <v>861</v>
      </c>
      <c r="F83" s="6" t="s">
        <v>146</v>
      </c>
      <c r="G83" s="6" t="s">
        <v>146</v>
      </c>
      <c r="H83" s="6"/>
      <c r="I83" s="6" t="n">
        <v>1</v>
      </c>
      <c r="J83" s="6" t="n">
        <v>1</v>
      </c>
      <c r="K83" s="6"/>
      <c r="L83" s="6" t="n">
        <v>1</v>
      </c>
      <c r="M83" s="6"/>
      <c r="N83" s="6" t="s">
        <v>1100</v>
      </c>
      <c r="O83" s="6" t="s">
        <v>146</v>
      </c>
    </row>
    <row r="84" customFormat="false" ht="15" hidden="false" customHeight="false" outlineLevel="0" collapsed="false">
      <c r="A84" s="6" t="n">
        <v>81</v>
      </c>
      <c r="B84" s="6" t="s">
        <v>718</v>
      </c>
      <c r="C84" s="6" t="n">
        <v>2026</v>
      </c>
      <c r="D84" s="6" t="s">
        <v>721</v>
      </c>
      <c r="E84" s="6" t="s">
        <v>247</v>
      </c>
      <c r="F84" s="6" t="s">
        <v>146</v>
      </c>
      <c r="G84" s="6" t="s">
        <v>146</v>
      </c>
      <c r="H84" s="6" t="n">
        <v>1</v>
      </c>
      <c r="I84" s="6" t="n">
        <v>1</v>
      </c>
      <c r="J84" s="6" t="n">
        <v>1</v>
      </c>
      <c r="K84" s="6" t="n">
        <v>1</v>
      </c>
      <c r="L84" s="6" t="n">
        <v>1</v>
      </c>
      <c r="M84" s="6"/>
      <c r="N84" s="6" t="s">
        <v>1100</v>
      </c>
      <c r="O84" s="6" t="s">
        <v>146</v>
      </c>
    </row>
    <row r="85" customFormat="false" ht="15" hidden="false" customHeight="false" outlineLevel="0" collapsed="false">
      <c r="A85" s="6" t="n">
        <v>82</v>
      </c>
      <c r="B85" s="6" t="s">
        <v>355</v>
      </c>
      <c r="C85" s="6" t="n">
        <v>2026</v>
      </c>
      <c r="D85" s="6" t="s">
        <v>358</v>
      </c>
      <c r="E85" s="6" t="s">
        <v>359</v>
      </c>
      <c r="F85" s="6" t="s">
        <v>33</v>
      </c>
      <c r="G85" s="6" t="s">
        <v>146</v>
      </c>
      <c r="H85" s="6"/>
      <c r="I85" s="6" t="n">
        <v>1</v>
      </c>
      <c r="J85" s="6" t="n">
        <v>1</v>
      </c>
      <c r="K85" s="6"/>
      <c r="L85" s="6" t="n">
        <v>1</v>
      </c>
      <c r="M85" s="6" t="n">
        <v>1</v>
      </c>
      <c r="N85" s="6" t="s">
        <v>1101</v>
      </c>
      <c r="O85" s="6" t="s">
        <v>146</v>
      </c>
    </row>
    <row r="86" customFormat="false" ht="15" hidden="false" customHeight="false" outlineLevel="0" collapsed="false">
      <c r="A86" s="6" t="n">
        <v>83</v>
      </c>
      <c r="B86" s="6" t="s">
        <v>1252</v>
      </c>
      <c r="C86" s="6" t="n">
        <v>2026</v>
      </c>
      <c r="D86" s="6" t="s">
        <v>1253</v>
      </c>
      <c r="E86" s="6" t="s">
        <v>1254</v>
      </c>
      <c r="F86" s="6" t="s">
        <v>33</v>
      </c>
      <c r="G86" s="6" t="s">
        <v>147</v>
      </c>
      <c r="H86" s="6"/>
      <c r="I86" s="6"/>
      <c r="J86" s="6"/>
      <c r="K86" s="6"/>
      <c r="L86" s="6" t="n">
        <v>1</v>
      </c>
      <c r="M86" s="6"/>
      <c r="N86" s="6" t="s">
        <v>1100</v>
      </c>
      <c r="O86" s="6" t="s">
        <v>147</v>
      </c>
    </row>
    <row r="87" customFormat="false" ht="15" hidden="false" customHeight="false" outlineLevel="0" collapsed="false">
      <c r="A87" s="6" t="n">
        <v>84</v>
      </c>
      <c r="B87" s="6" t="s">
        <v>677</v>
      </c>
      <c r="C87" s="6" t="n">
        <v>2026</v>
      </c>
      <c r="D87" s="6" t="s">
        <v>679</v>
      </c>
      <c r="E87" s="6" t="s">
        <v>680</v>
      </c>
      <c r="F87" s="6" t="s">
        <v>146</v>
      </c>
      <c r="G87" s="6" t="s">
        <v>146</v>
      </c>
      <c r="H87" s="6" t="n">
        <v>1</v>
      </c>
      <c r="I87" s="6" t="n">
        <v>1</v>
      </c>
      <c r="J87" s="6" t="n">
        <v>1</v>
      </c>
      <c r="K87" s="6" t="n">
        <v>1</v>
      </c>
      <c r="L87" s="6" t="n">
        <v>1</v>
      </c>
      <c r="M87" s="6"/>
      <c r="N87" s="6" t="s">
        <v>1100</v>
      </c>
      <c r="O87" s="6" t="s">
        <v>146</v>
      </c>
    </row>
    <row r="88" customFormat="false" ht="15" hidden="false" customHeight="false" outlineLevel="0" collapsed="false">
      <c r="A88" s="6" t="n">
        <v>85</v>
      </c>
      <c r="B88" s="6" t="s">
        <v>1255</v>
      </c>
      <c r="C88" s="6" t="n">
        <v>2026</v>
      </c>
      <c r="D88" s="6" t="s">
        <v>1256</v>
      </c>
      <c r="E88" s="6" t="s">
        <v>1257</v>
      </c>
      <c r="F88" s="6" t="s">
        <v>33</v>
      </c>
      <c r="G88" s="6" t="s">
        <v>147</v>
      </c>
      <c r="H88" s="6"/>
      <c r="I88" s="6"/>
      <c r="J88" s="6"/>
      <c r="K88" s="6"/>
      <c r="L88" s="6"/>
      <c r="M88" s="6"/>
      <c r="N88" s="6" t="s">
        <v>1100</v>
      </c>
      <c r="O88" s="6" t="s">
        <v>147</v>
      </c>
    </row>
    <row r="89" customFormat="false" ht="15" hidden="false" customHeight="false" outlineLevel="0" collapsed="false">
      <c r="A89" s="6" t="n">
        <v>86</v>
      </c>
      <c r="B89" s="6" t="s">
        <v>1258</v>
      </c>
      <c r="C89" s="6" t="n">
        <v>2026</v>
      </c>
      <c r="D89" s="6" t="s">
        <v>1259</v>
      </c>
      <c r="E89" s="6" t="s">
        <v>1260</v>
      </c>
      <c r="F89" s="6" t="s">
        <v>33</v>
      </c>
      <c r="G89" s="6" t="s">
        <v>147</v>
      </c>
      <c r="H89" s="6"/>
      <c r="I89" s="6"/>
      <c r="J89" s="6" t="n">
        <v>1</v>
      </c>
      <c r="K89" s="6"/>
      <c r="L89" s="6" t="n">
        <v>1</v>
      </c>
      <c r="M89" s="6"/>
      <c r="N89" s="6" t="s">
        <v>1100</v>
      </c>
      <c r="O89" s="6" t="s">
        <v>147</v>
      </c>
    </row>
    <row r="90" customFormat="false" ht="15" hidden="false" customHeight="false" outlineLevel="0" collapsed="false">
      <c r="A90" s="6" t="n">
        <v>87</v>
      </c>
      <c r="B90" s="6" t="s">
        <v>1261</v>
      </c>
      <c r="C90" s="6" t="n">
        <v>2026</v>
      </c>
      <c r="D90" s="6" t="s">
        <v>1262</v>
      </c>
      <c r="E90" s="6" t="s">
        <v>1263</v>
      </c>
      <c r="F90" s="6" t="s">
        <v>33</v>
      </c>
      <c r="G90" s="6" t="s">
        <v>147</v>
      </c>
      <c r="H90" s="6"/>
      <c r="I90" s="6"/>
      <c r="J90" s="6" t="n">
        <v>1</v>
      </c>
      <c r="K90" s="6"/>
      <c r="L90" s="6"/>
      <c r="M90" s="6"/>
      <c r="N90" s="6" t="s">
        <v>1100</v>
      </c>
      <c r="O90" s="6" t="s">
        <v>147</v>
      </c>
    </row>
    <row r="91" customFormat="false" ht="15" hidden="false" customHeight="false" outlineLevel="0" collapsed="false">
      <c r="A91" s="6" t="n">
        <v>88</v>
      </c>
      <c r="B91" s="6" t="s">
        <v>599</v>
      </c>
      <c r="C91" s="6" t="n">
        <v>2026</v>
      </c>
      <c r="D91" s="6" t="s">
        <v>602</v>
      </c>
      <c r="E91" s="6" t="s">
        <v>603</v>
      </c>
      <c r="F91" s="6" t="s">
        <v>146</v>
      </c>
      <c r="G91" s="6" t="s">
        <v>146</v>
      </c>
      <c r="H91" s="6" t="n">
        <v>1</v>
      </c>
      <c r="I91" s="6" t="n">
        <v>1</v>
      </c>
      <c r="J91" s="6" t="n">
        <v>1</v>
      </c>
      <c r="K91" s="6" t="n">
        <v>1</v>
      </c>
      <c r="L91" s="6" t="n">
        <v>1</v>
      </c>
      <c r="M91" s="6"/>
      <c r="N91" s="6" t="s">
        <v>1100</v>
      </c>
      <c r="O91" s="6" t="s">
        <v>146</v>
      </c>
    </row>
    <row r="92" customFormat="false" ht="15" hidden="false" customHeight="false" outlineLevel="0" collapsed="false">
      <c r="A92" s="6" t="n">
        <v>89</v>
      </c>
      <c r="B92" s="6" t="s">
        <v>583</v>
      </c>
      <c r="C92" s="6" t="n">
        <v>2026</v>
      </c>
      <c r="D92" s="6" t="s">
        <v>586</v>
      </c>
      <c r="E92" s="6" t="s">
        <v>587</v>
      </c>
      <c r="F92" s="6" t="s">
        <v>33</v>
      </c>
      <c r="G92" s="6" t="s">
        <v>146</v>
      </c>
      <c r="H92" s="6" t="n">
        <v>1</v>
      </c>
      <c r="I92" s="6"/>
      <c r="J92" s="6" t="n">
        <v>1</v>
      </c>
      <c r="K92" s="6"/>
      <c r="L92" s="6" t="n">
        <v>1</v>
      </c>
      <c r="M92" s="6" t="n">
        <v>1</v>
      </c>
      <c r="N92" s="6" t="s">
        <v>1101</v>
      </c>
      <c r="O92" s="6" t="s">
        <v>146</v>
      </c>
    </row>
    <row r="93" customFormat="false" ht="15" hidden="false" customHeight="false" outlineLevel="0" collapsed="false">
      <c r="A93" s="6" t="n">
        <v>90</v>
      </c>
      <c r="B93" s="6" t="s">
        <v>1014</v>
      </c>
      <c r="C93" s="6" t="n">
        <v>2026</v>
      </c>
      <c r="D93" s="6" t="s">
        <v>1017</v>
      </c>
      <c r="E93" s="6" t="s">
        <v>1018</v>
      </c>
      <c r="F93" s="6" t="s">
        <v>33</v>
      </c>
      <c r="G93" s="6" t="s">
        <v>146</v>
      </c>
      <c r="H93" s="6"/>
      <c r="I93" s="6" t="n">
        <v>1</v>
      </c>
      <c r="J93" s="6" t="n">
        <v>1</v>
      </c>
      <c r="K93" s="6"/>
      <c r="L93" s="6" t="n">
        <v>1</v>
      </c>
      <c r="M93" s="6" t="n">
        <v>1</v>
      </c>
      <c r="N93" s="6" t="s">
        <v>1101</v>
      </c>
      <c r="O93" s="6" t="s">
        <v>146</v>
      </c>
    </row>
    <row r="94" customFormat="false" ht="15" hidden="false" customHeight="false" outlineLevel="0" collapsed="false">
      <c r="A94" s="6" t="n">
        <v>91</v>
      </c>
      <c r="B94" s="6" t="s">
        <v>835</v>
      </c>
      <c r="C94" s="6" t="n">
        <v>2026</v>
      </c>
      <c r="D94" s="6" t="s">
        <v>838</v>
      </c>
      <c r="E94" s="6" t="s">
        <v>839</v>
      </c>
      <c r="F94" s="6" t="s">
        <v>146</v>
      </c>
      <c r="G94" s="6" t="s">
        <v>146</v>
      </c>
      <c r="H94" s="6"/>
      <c r="I94" s="6" t="n">
        <v>1</v>
      </c>
      <c r="J94" s="6" t="n">
        <v>1</v>
      </c>
      <c r="K94" s="6" t="n">
        <v>1</v>
      </c>
      <c r="L94" s="6" t="n">
        <v>1</v>
      </c>
      <c r="M94" s="6"/>
      <c r="N94" s="6" t="s">
        <v>1100</v>
      </c>
      <c r="O94" s="6" t="s">
        <v>146</v>
      </c>
    </row>
    <row r="95" customFormat="false" ht="15" hidden="false" customHeight="false" outlineLevel="0" collapsed="false">
      <c r="A95" s="6" t="n">
        <v>92</v>
      </c>
      <c r="B95" s="6" t="s">
        <v>745</v>
      </c>
      <c r="C95" s="6" t="n">
        <v>2026</v>
      </c>
      <c r="D95" s="6" t="s">
        <v>748</v>
      </c>
      <c r="E95" s="6" t="s">
        <v>749</v>
      </c>
      <c r="F95" s="6" t="s">
        <v>146</v>
      </c>
      <c r="G95" s="6" t="s">
        <v>146</v>
      </c>
      <c r="H95" s="6" t="n">
        <v>1</v>
      </c>
      <c r="I95" s="6" t="n">
        <v>1</v>
      </c>
      <c r="J95" s="6"/>
      <c r="K95" s="6" t="n">
        <v>1</v>
      </c>
      <c r="L95" s="6" t="n">
        <v>1</v>
      </c>
      <c r="M95" s="6"/>
      <c r="N95" s="6" t="s">
        <v>1100</v>
      </c>
      <c r="O95" s="6" t="s">
        <v>146</v>
      </c>
    </row>
    <row r="96" customFormat="false" ht="15" hidden="false" customHeight="false" outlineLevel="0" collapsed="false">
      <c r="A96" s="6" t="n">
        <v>93</v>
      </c>
      <c r="B96" s="6" t="s">
        <v>468</v>
      </c>
      <c r="C96" s="6" t="n">
        <v>2026</v>
      </c>
      <c r="D96" s="6" t="s">
        <v>471</v>
      </c>
      <c r="E96" s="6" t="s">
        <v>296</v>
      </c>
      <c r="F96" s="6" t="s">
        <v>146</v>
      </c>
      <c r="G96" s="6" t="s">
        <v>146</v>
      </c>
      <c r="H96" s="6" t="n">
        <v>1</v>
      </c>
      <c r="I96" s="6" t="n">
        <v>1</v>
      </c>
      <c r="J96" s="6" t="n">
        <v>1</v>
      </c>
      <c r="K96" s="6"/>
      <c r="L96" s="6" t="n">
        <v>1</v>
      </c>
      <c r="M96" s="6"/>
      <c r="N96" s="6" t="s">
        <v>1100</v>
      </c>
      <c r="O96" s="6" t="s">
        <v>146</v>
      </c>
    </row>
    <row r="97" customFormat="false" ht="15" hidden="false" customHeight="false" outlineLevel="0" collapsed="false">
      <c r="A97" s="6" t="n">
        <v>94</v>
      </c>
      <c r="B97" s="6" t="s">
        <v>390</v>
      </c>
      <c r="C97" s="6" t="n">
        <v>2026</v>
      </c>
      <c r="D97" s="6" t="s">
        <v>392</v>
      </c>
      <c r="E97" s="6" t="s">
        <v>393</v>
      </c>
      <c r="F97" s="6" t="s">
        <v>146</v>
      </c>
      <c r="G97" s="6" t="s">
        <v>147</v>
      </c>
      <c r="H97" s="6"/>
      <c r="I97" s="6" t="n">
        <v>1</v>
      </c>
      <c r="J97" s="6"/>
      <c r="K97" s="6" t="n">
        <v>1</v>
      </c>
      <c r="L97" s="6" t="n">
        <v>1</v>
      </c>
      <c r="M97" s="6" t="n">
        <v>1</v>
      </c>
      <c r="N97" s="6" t="s">
        <v>1187</v>
      </c>
      <c r="O97" s="6" t="s">
        <v>146</v>
      </c>
    </row>
    <row r="98" customFormat="false" ht="15" hidden="false" customHeight="false" outlineLevel="0" collapsed="false">
      <c r="A98" s="6" t="n">
        <v>95</v>
      </c>
      <c r="B98" s="6" t="s">
        <v>1065</v>
      </c>
      <c r="C98" s="6" t="n">
        <v>2026</v>
      </c>
      <c r="D98" s="6" t="s">
        <v>1068</v>
      </c>
      <c r="E98" s="6" t="s">
        <v>414</v>
      </c>
      <c r="F98" s="6" t="s">
        <v>146</v>
      </c>
      <c r="G98" s="6" t="s">
        <v>146</v>
      </c>
      <c r="H98" s="6" t="n">
        <v>1</v>
      </c>
      <c r="I98" s="6" t="n">
        <v>1</v>
      </c>
      <c r="J98" s="6" t="n">
        <v>1</v>
      </c>
      <c r="K98" s="6"/>
      <c r="L98" s="6" t="n">
        <v>1</v>
      </c>
      <c r="M98" s="6"/>
      <c r="N98" s="6" t="s">
        <v>1100</v>
      </c>
      <c r="O98" s="6" t="s">
        <v>146</v>
      </c>
    </row>
    <row r="99" customFormat="false" ht="15" hidden="false" customHeight="false" outlineLevel="0" collapsed="false">
      <c r="A99" s="6" t="n">
        <v>96</v>
      </c>
      <c r="B99" s="6" t="s">
        <v>1264</v>
      </c>
      <c r="C99" s="6" t="n">
        <v>2026</v>
      </c>
      <c r="D99" s="6" t="s">
        <v>1265</v>
      </c>
      <c r="E99" s="6" t="s">
        <v>1266</v>
      </c>
      <c r="F99" s="6" t="s">
        <v>33</v>
      </c>
      <c r="G99" s="6" t="s">
        <v>147</v>
      </c>
      <c r="H99" s="6"/>
      <c r="I99" s="6"/>
      <c r="J99" s="6" t="n">
        <v>1</v>
      </c>
      <c r="K99" s="6"/>
      <c r="L99" s="6"/>
      <c r="M99" s="6"/>
      <c r="N99" s="6" t="s">
        <v>1100</v>
      </c>
      <c r="O99" s="6" t="s">
        <v>147</v>
      </c>
    </row>
    <row r="100" customFormat="false" ht="15" hidden="false" customHeight="false" outlineLevel="0" collapsed="false">
      <c r="A100" s="6" t="n">
        <v>97</v>
      </c>
      <c r="B100" s="6" t="s">
        <v>1060</v>
      </c>
      <c r="C100" s="6" t="n">
        <v>2026</v>
      </c>
      <c r="D100" s="6" t="s">
        <v>1063</v>
      </c>
      <c r="E100" s="6" t="s">
        <v>247</v>
      </c>
      <c r="F100" s="6" t="s">
        <v>146</v>
      </c>
      <c r="G100" s="6" t="s">
        <v>146</v>
      </c>
      <c r="H100" s="6" t="n">
        <v>1</v>
      </c>
      <c r="I100" s="6" t="n">
        <v>1</v>
      </c>
      <c r="J100" s="6"/>
      <c r="K100" s="6" t="n">
        <v>1</v>
      </c>
      <c r="L100" s="6" t="n">
        <v>1</v>
      </c>
      <c r="M100" s="6"/>
      <c r="N100" s="6" t="s">
        <v>1100</v>
      </c>
      <c r="O100" s="6" t="s">
        <v>146</v>
      </c>
    </row>
    <row r="101" customFormat="false" ht="15" hidden="false" customHeight="false" outlineLevel="0" collapsed="false">
      <c r="A101" s="6" t="n">
        <v>98</v>
      </c>
      <c r="B101" s="6" t="s">
        <v>318</v>
      </c>
      <c r="C101" s="6" t="n">
        <v>2026</v>
      </c>
      <c r="D101" s="6" t="s">
        <v>321</v>
      </c>
      <c r="E101" s="6" t="s">
        <v>322</v>
      </c>
      <c r="F101" s="6" t="s">
        <v>33</v>
      </c>
      <c r="G101" s="6" t="s">
        <v>146</v>
      </c>
      <c r="H101" s="6" t="n">
        <v>1</v>
      </c>
      <c r="I101" s="6" t="n">
        <v>1</v>
      </c>
      <c r="J101" s="6"/>
      <c r="K101" s="6"/>
      <c r="L101" s="6" t="n">
        <v>1</v>
      </c>
      <c r="M101" s="6" t="n">
        <v>1</v>
      </c>
      <c r="N101" s="6" t="s">
        <v>1101</v>
      </c>
      <c r="O101" s="6" t="s">
        <v>146</v>
      </c>
    </row>
    <row r="102" customFormat="false" ht="15" hidden="false" customHeight="false" outlineLevel="0" collapsed="false">
      <c r="A102" s="6" t="n">
        <v>99</v>
      </c>
      <c r="B102" s="6" t="s">
        <v>1069</v>
      </c>
      <c r="C102" s="6" t="n">
        <v>2026</v>
      </c>
      <c r="D102" s="6" t="s">
        <v>1072</v>
      </c>
      <c r="E102" s="6" t="s">
        <v>1073</v>
      </c>
      <c r="F102" s="6" t="s">
        <v>33</v>
      </c>
      <c r="G102" s="6" t="s">
        <v>146</v>
      </c>
      <c r="H102" s="6" t="n">
        <v>1</v>
      </c>
      <c r="I102" s="6"/>
      <c r="J102" s="6" t="n">
        <v>1</v>
      </c>
      <c r="K102" s="6"/>
      <c r="L102" s="6" t="n">
        <v>1</v>
      </c>
      <c r="M102" s="6" t="n">
        <v>1</v>
      </c>
      <c r="N102" s="6" t="s">
        <v>1101</v>
      </c>
      <c r="O102" s="6" t="s">
        <v>146</v>
      </c>
    </row>
    <row r="103" customFormat="false" ht="15" hidden="false" customHeight="false" outlineLevel="0" collapsed="false">
      <c r="A103" s="6" t="n">
        <v>100</v>
      </c>
      <c r="B103" s="6" t="s">
        <v>757</v>
      </c>
      <c r="C103" s="6" t="n">
        <v>2026</v>
      </c>
      <c r="D103" s="6" t="s">
        <v>760</v>
      </c>
      <c r="E103" s="6" t="s">
        <v>247</v>
      </c>
      <c r="F103" s="6" t="s">
        <v>146</v>
      </c>
      <c r="G103" s="6" t="s">
        <v>146</v>
      </c>
      <c r="H103" s="6" t="n">
        <v>1</v>
      </c>
      <c r="I103" s="6" t="n">
        <v>1</v>
      </c>
      <c r="J103" s="6" t="n">
        <v>1</v>
      </c>
      <c r="K103" s="6" t="n">
        <v>1</v>
      </c>
      <c r="L103" s="6" t="n">
        <v>1</v>
      </c>
      <c r="M103" s="6"/>
      <c r="N103" s="6" t="s">
        <v>1100</v>
      </c>
      <c r="O103" s="6" t="s">
        <v>146</v>
      </c>
    </row>
    <row r="104" customFormat="false" ht="15" hidden="false" customHeight="false" outlineLevel="0" collapsed="false">
      <c r="A104" s="6" t="n">
        <v>101</v>
      </c>
      <c r="B104" s="6" t="s">
        <v>510</v>
      </c>
      <c r="C104" s="6" t="n">
        <v>2026</v>
      </c>
      <c r="D104" s="6" t="s">
        <v>513</v>
      </c>
      <c r="E104" s="6" t="s">
        <v>514</v>
      </c>
      <c r="F104" s="6" t="s">
        <v>146</v>
      </c>
      <c r="G104" s="6" t="s">
        <v>146</v>
      </c>
      <c r="H104" s="6" t="n">
        <v>1</v>
      </c>
      <c r="I104" s="6" t="n">
        <v>1</v>
      </c>
      <c r="J104" s="6" t="n">
        <v>1</v>
      </c>
      <c r="K104" s="6"/>
      <c r="L104" s="6"/>
      <c r="M104" s="6"/>
      <c r="N104" s="6" t="s">
        <v>1100</v>
      </c>
      <c r="O104" s="6" t="s">
        <v>146</v>
      </c>
    </row>
    <row r="105" customFormat="false" ht="15" hidden="false" customHeight="false" outlineLevel="0" collapsed="false">
      <c r="A105" s="6" t="n">
        <v>102</v>
      </c>
      <c r="B105" s="6" t="s">
        <v>292</v>
      </c>
      <c r="C105" s="6" t="n">
        <v>2026</v>
      </c>
      <c r="D105" s="6" t="s">
        <v>295</v>
      </c>
      <c r="E105" s="6" t="s">
        <v>296</v>
      </c>
      <c r="F105" s="6" t="s">
        <v>146</v>
      </c>
      <c r="G105" s="6" t="s">
        <v>146</v>
      </c>
      <c r="H105" s="6" t="n">
        <v>1</v>
      </c>
      <c r="I105" s="6" t="n">
        <v>1</v>
      </c>
      <c r="J105" s="6" t="n">
        <v>1</v>
      </c>
      <c r="K105" s="6"/>
      <c r="L105" s="6" t="n">
        <v>1</v>
      </c>
      <c r="M105" s="6"/>
      <c r="N105" s="6" t="s">
        <v>1100</v>
      </c>
      <c r="O105" s="6" t="s">
        <v>146</v>
      </c>
    </row>
    <row r="106" customFormat="false" ht="15" hidden="false" customHeight="false" outlineLevel="0" collapsed="false">
      <c r="A106" s="6" t="n">
        <v>103</v>
      </c>
      <c r="B106" s="6" t="s">
        <v>646</v>
      </c>
      <c r="C106" s="6" t="n">
        <v>2026</v>
      </c>
      <c r="D106" s="6" t="s">
        <v>648</v>
      </c>
      <c r="E106" s="6" t="s">
        <v>649</v>
      </c>
      <c r="F106" s="6" t="s">
        <v>146</v>
      </c>
      <c r="G106" s="6" t="s">
        <v>146</v>
      </c>
      <c r="H106" s="6"/>
      <c r="I106" s="6" t="n">
        <v>1</v>
      </c>
      <c r="J106" s="6" t="n">
        <v>1</v>
      </c>
      <c r="K106" s="6" t="n">
        <v>1</v>
      </c>
      <c r="L106" s="6" t="n">
        <v>1</v>
      </c>
      <c r="M106" s="6"/>
      <c r="N106" s="6" t="s">
        <v>1100</v>
      </c>
      <c r="O106" s="6" t="s">
        <v>146</v>
      </c>
    </row>
    <row r="107" customFormat="false" ht="15" hidden="false" customHeight="false" outlineLevel="0" collapsed="false">
      <c r="A107" s="6" t="n">
        <v>104</v>
      </c>
      <c r="B107" s="6" t="s">
        <v>1267</v>
      </c>
      <c r="C107" s="6" t="n">
        <v>2026</v>
      </c>
      <c r="D107" s="6" t="s">
        <v>1268</v>
      </c>
      <c r="E107" s="6" t="s">
        <v>1248</v>
      </c>
      <c r="F107" s="6" t="s">
        <v>33</v>
      </c>
      <c r="G107" s="6" t="s">
        <v>147</v>
      </c>
      <c r="H107" s="6"/>
      <c r="I107" s="6" t="n">
        <v>1</v>
      </c>
      <c r="J107" s="6"/>
      <c r="K107" s="6"/>
      <c r="L107" s="6" t="n">
        <v>1</v>
      </c>
      <c r="M107" s="6"/>
      <c r="N107" s="6" t="s">
        <v>1100</v>
      </c>
      <c r="O107" s="6" t="s">
        <v>147</v>
      </c>
    </row>
    <row r="108" customFormat="false" ht="15" hidden="false" customHeight="false" outlineLevel="0" collapsed="false">
      <c r="A108" s="6" t="n">
        <v>105</v>
      </c>
      <c r="B108" s="6" t="s">
        <v>942</v>
      </c>
      <c r="C108" s="6" t="n">
        <v>2026</v>
      </c>
      <c r="D108" s="6" t="s">
        <v>945</v>
      </c>
      <c r="E108" s="6" t="s">
        <v>946</v>
      </c>
      <c r="F108" s="6" t="s">
        <v>33</v>
      </c>
      <c r="G108" s="6" t="s">
        <v>146</v>
      </c>
      <c r="H108" s="6"/>
      <c r="I108" s="6" t="n">
        <v>1</v>
      </c>
      <c r="J108" s="6" t="n">
        <v>1</v>
      </c>
      <c r="K108" s="6"/>
      <c r="L108" s="6" t="n">
        <v>1</v>
      </c>
      <c r="M108" s="6" t="n">
        <v>1</v>
      </c>
      <c r="N108" s="6" t="s">
        <v>1101</v>
      </c>
      <c r="O108" s="6" t="s">
        <v>146</v>
      </c>
    </row>
    <row r="109" customFormat="false" ht="15" hidden="false" customHeight="false" outlineLevel="0" collapsed="false">
      <c r="A109" s="6" t="n">
        <v>106</v>
      </c>
      <c r="B109" s="6" t="s">
        <v>404</v>
      </c>
      <c r="C109" s="6" t="n">
        <v>2026</v>
      </c>
      <c r="D109" s="6" t="s">
        <v>407</v>
      </c>
      <c r="E109" s="6" t="s">
        <v>408</v>
      </c>
      <c r="F109" s="6" t="s">
        <v>146</v>
      </c>
      <c r="G109" s="6" t="s">
        <v>146</v>
      </c>
      <c r="H109" s="6" t="n">
        <v>1</v>
      </c>
      <c r="I109" s="6"/>
      <c r="J109" s="6"/>
      <c r="K109" s="6"/>
      <c r="L109" s="6" t="n">
        <v>1</v>
      </c>
      <c r="M109" s="6"/>
      <c r="N109" s="6" t="s">
        <v>1100</v>
      </c>
      <c r="O109" s="6" t="s">
        <v>146</v>
      </c>
    </row>
    <row r="110" customFormat="false" ht="15" hidden="false" customHeight="false" outlineLevel="0" collapsed="false">
      <c r="A110" s="6" t="n">
        <v>107</v>
      </c>
      <c r="B110" s="6" t="s">
        <v>864</v>
      </c>
      <c r="C110" s="6" t="n">
        <v>2026</v>
      </c>
      <c r="D110" s="6" t="s">
        <v>867</v>
      </c>
      <c r="E110" s="6" t="s">
        <v>296</v>
      </c>
      <c r="F110" s="6" t="s">
        <v>146</v>
      </c>
      <c r="G110" s="6" t="s">
        <v>146</v>
      </c>
      <c r="H110" s="6" t="n">
        <v>1</v>
      </c>
      <c r="I110" s="6" t="n">
        <v>1</v>
      </c>
      <c r="J110" s="6" t="n">
        <v>1</v>
      </c>
      <c r="K110" s="6"/>
      <c r="L110" s="6" t="n">
        <v>1</v>
      </c>
      <c r="M110" s="6"/>
      <c r="N110" s="6" t="s">
        <v>1100</v>
      </c>
      <c r="O110" s="6" t="s">
        <v>146</v>
      </c>
    </row>
    <row r="111" customFormat="false" ht="15" hidden="false" customHeight="false" outlineLevel="0" collapsed="false">
      <c r="A111" s="6" t="n">
        <v>108</v>
      </c>
      <c r="B111" s="6" t="s">
        <v>549</v>
      </c>
      <c r="C111" s="6" t="n">
        <v>2026</v>
      </c>
      <c r="D111" s="6" t="s">
        <v>552</v>
      </c>
      <c r="E111" s="6" t="s">
        <v>553</v>
      </c>
      <c r="F111" s="6" t="s">
        <v>33</v>
      </c>
      <c r="G111" s="6" t="s">
        <v>146</v>
      </c>
      <c r="H111" s="6" t="n">
        <v>1</v>
      </c>
      <c r="I111" s="6" t="n">
        <v>1</v>
      </c>
      <c r="J111" s="6" t="n">
        <v>1</v>
      </c>
      <c r="K111" s="6"/>
      <c r="L111" s="6" t="n">
        <v>1</v>
      </c>
      <c r="M111" s="6" t="n">
        <v>1</v>
      </c>
      <c r="N111" s="6" t="s">
        <v>1101</v>
      </c>
      <c r="O111" s="6" t="s">
        <v>146</v>
      </c>
    </row>
    <row r="112" customFormat="false" ht="15" hidden="false" customHeight="false" outlineLevel="0" collapsed="false">
      <c r="A112" s="6" t="n">
        <v>109</v>
      </c>
      <c r="B112" s="6" t="s">
        <v>1269</v>
      </c>
      <c r="C112" s="6" t="n">
        <v>2026</v>
      </c>
      <c r="D112" s="6" t="s">
        <v>1270</v>
      </c>
      <c r="E112" s="6" t="s">
        <v>1248</v>
      </c>
      <c r="F112" s="6" t="s">
        <v>33</v>
      </c>
      <c r="G112" s="6" t="s">
        <v>147</v>
      </c>
      <c r="H112" s="6"/>
      <c r="I112" s="6" t="n">
        <v>1</v>
      </c>
      <c r="J112" s="6"/>
      <c r="K112" s="6"/>
      <c r="L112" s="6" t="n">
        <v>1</v>
      </c>
      <c r="M112" s="6"/>
      <c r="N112" s="6" t="s">
        <v>1100</v>
      </c>
      <c r="O112" s="6" t="s">
        <v>147</v>
      </c>
    </row>
    <row r="113" customFormat="false" ht="15" hidden="false" customHeight="false" outlineLevel="0" collapsed="false">
      <c r="A113" s="6" t="n">
        <v>110</v>
      </c>
      <c r="B113" s="6" t="s">
        <v>610</v>
      </c>
      <c r="C113" s="6" t="n">
        <v>2026</v>
      </c>
      <c r="D113" s="6" t="s">
        <v>613</v>
      </c>
      <c r="E113" s="6" t="s">
        <v>614</v>
      </c>
      <c r="F113" s="6" t="s">
        <v>146</v>
      </c>
      <c r="G113" s="6" t="s">
        <v>146</v>
      </c>
      <c r="H113" s="6" t="n">
        <v>1</v>
      </c>
      <c r="I113" s="6" t="n">
        <v>1</v>
      </c>
      <c r="J113" s="6" t="n">
        <v>1</v>
      </c>
      <c r="K113" s="6"/>
      <c r="L113" s="6" t="n">
        <v>1</v>
      </c>
      <c r="M113" s="6"/>
      <c r="N113" s="6" t="s">
        <v>1100</v>
      </c>
      <c r="O113" s="6" t="s">
        <v>146</v>
      </c>
    </row>
    <row r="114" customFormat="false" ht="15" hidden="false" customHeight="false" outlineLevel="0" collapsed="false">
      <c r="A114" s="6" t="n">
        <v>111</v>
      </c>
      <c r="B114" s="6" t="s">
        <v>1271</v>
      </c>
      <c r="C114" s="6" t="n">
        <v>2026</v>
      </c>
      <c r="D114" s="6" t="s">
        <v>1272</v>
      </c>
      <c r="E114" s="6" t="s">
        <v>1273</v>
      </c>
      <c r="F114" s="6" t="s">
        <v>33</v>
      </c>
      <c r="G114" s="6" t="s">
        <v>146</v>
      </c>
      <c r="H114" s="6" t="n">
        <v>1</v>
      </c>
      <c r="I114" s="6"/>
      <c r="J114" s="6"/>
      <c r="K114" s="6"/>
      <c r="L114" s="6" t="n">
        <v>1</v>
      </c>
      <c r="M114" s="6" t="n">
        <v>1</v>
      </c>
      <c r="N114" s="6" t="s">
        <v>1183</v>
      </c>
      <c r="O114" s="6" t="s">
        <v>147</v>
      </c>
    </row>
    <row r="115" customFormat="false" ht="15" hidden="false" customHeight="false" outlineLevel="0" collapsed="false">
      <c r="A115" s="6" t="n">
        <v>112</v>
      </c>
      <c r="B115" s="6" t="s">
        <v>907</v>
      </c>
      <c r="C115" s="6" t="n">
        <v>2026</v>
      </c>
      <c r="D115" s="6" t="s">
        <v>910</v>
      </c>
      <c r="E115" s="6" t="s">
        <v>796</v>
      </c>
      <c r="F115" s="6" t="s">
        <v>33</v>
      </c>
      <c r="G115" s="6" t="s">
        <v>146</v>
      </c>
      <c r="H115" s="6"/>
      <c r="I115" s="6" t="n">
        <v>1</v>
      </c>
      <c r="J115" s="6" t="n">
        <v>1</v>
      </c>
      <c r="K115" s="6"/>
      <c r="L115" s="6" t="n">
        <v>1</v>
      </c>
      <c r="M115" s="6" t="n">
        <v>1</v>
      </c>
      <c r="N115" s="6" t="s">
        <v>1101</v>
      </c>
      <c r="O115" s="6" t="s">
        <v>146</v>
      </c>
    </row>
    <row r="116" customFormat="false" ht="15" hidden="false" customHeight="false" outlineLevel="0" collapsed="false">
      <c r="A116" s="6" t="n">
        <v>113</v>
      </c>
      <c r="B116" s="6" t="s">
        <v>1274</v>
      </c>
      <c r="C116" s="6" t="n">
        <v>2026</v>
      </c>
      <c r="D116" s="6" t="s">
        <v>1275</v>
      </c>
      <c r="E116" s="6" t="s">
        <v>1276</v>
      </c>
      <c r="F116" s="6" t="s">
        <v>33</v>
      </c>
      <c r="G116" s="6" t="s">
        <v>146</v>
      </c>
      <c r="H116" s="6" t="n">
        <v>1</v>
      </c>
      <c r="I116" s="6"/>
      <c r="J116" s="6"/>
      <c r="K116" s="6"/>
      <c r="L116" s="6" t="n">
        <v>1</v>
      </c>
      <c r="M116" s="6" t="n">
        <v>1</v>
      </c>
      <c r="N116" s="6" t="s">
        <v>1183</v>
      </c>
      <c r="O116" s="6" t="s">
        <v>147</v>
      </c>
    </row>
    <row r="117" customFormat="false" ht="15" hidden="false" customHeight="false" outlineLevel="0" collapsed="false">
      <c r="A117" s="6" t="n">
        <v>114</v>
      </c>
      <c r="B117" s="6" t="s">
        <v>1277</v>
      </c>
      <c r="C117" s="6" t="n">
        <v>2026</v>
      </c>
      <c r="D117" s="6" t="s">
        <v>1278</v>
      </c>
      <c r="E117" s="6" t="s">
        <v>1279</v>
      </c>
      <c r="F117" s="6" t="s">
        <v>33</v>
      </c>
      <c r="G117" s="6" t="s">
        <v>147</v>
      </c>
      <c r="H117" s="6"/>
      <c r="I117" s="6" t="n">
        <v>1</v>
      </c>
      <c r="J117" s="6"/>
      <c r="K117" s="6"/>
      <c r="L117" s="6"/>
      <c r="M117" s="6"/>
      <c r="N117" s="6" t="s">
        <v>1100</v>
      </c>
      <c r="O117" s="6" t="s">
        <v>147</v>
      </c>
    </row>
    <row r="118" customFormat="false" ht="15" hidden="false" customHeight="false" outlineLevel="0" collapsed="false">
      <c r="A118" s="6" t="n">
        <v>115</v>
      </c>
      <c r="B118" s="6" t="s">
        <v>1280</v>
      </c>
      <c r="C118" s="6" t="n">
        <v>2026</v>
      </c>
      <c r="D118" s="6" t="s">
        <v>1281</v>
      </c>
      <c r="E118" s="6" t="s">
        <v>946</v>
      </c>
      <c r="F118" s="6" t="s">
        <v>33</v>
      </c>
      <c r="G118" s="6" t="s">
        <v>147</v>
      </c>
      <c r="H118" s="6"/>
      <c r="I118" s="6" t="n">
        <v>1</v>
      </c>
      <c r="J118" s="6"/>
      <c r="K118" s="6"/>
      <c r="L118" s="6" t="n">
        <v>1</v>
      </c>
      <c r="M118" s="6"/>
      <c r="N118" s="6" t="s">
        <v>1100</v>
      </c>
      <c r="O118" s="6" t="s">
        <v>147</v>
      </c>
    </row>
    <row r="119" customFormat="false" ht="15" hidden="false" customHeight="false" outlineLevel="0" collapsed="false">
      <c r="A119" s="6" t="n">
        <v>116</v>
      </c>
      <c r="B119" s="6" t="s">
        <v>1042</v>
      </c>
      <c r="C119" s="6" t="n">
        <v>2026</v>
      </c>
      <c r="D119" s="6" t="s">
        <v>1045</v>
      </c>
      <c r="E119" s="6" t="s">
        <v>1046</v>
      </c>
      <c r="F119" s="6" t="s">
        <v>33</v>
      </c>
      <c r="G119" s="6" t="s">
        <v>146</v>
      </c>
      <c r="H119" s="6"/>
      <c r="I119" s="6" t="n">
        <v>1</v>
      </c>
      <c r="J119" s="6" t="n">
        <v>1</v>
      </c>
      <c r="K119" s="6"/>
      <c r="L119" s="6" t="n">
        <v>1</v>
      </c>
      <c r="M119" s="6" t="n">
        <v>1</v>
      </c>
      <c r="N119" s="6" t="s">
        <v>1101</v>
      </c>
      <c r="O119" s="6" t="s">
        <v>146</v>
      </c>
    </row>
    <row r="120" customFormat="false" ht="15" hidden="false" customHeight="false" outlineLevel="0" collapsed="false">
      <c r="A120" s="6" t="n">
        <v>117</v>
      </c>
      <c r="B120" s="6" t="s">
        <v>1282</v>
      </c>
      <c r="C120" s="6" t="n">
        <v>2026</v>
      </c>
      <c r="D120" s="6" t="s">
        <v>1283</v>
      </c>
      <c r="E120" s="6" t="s">
        <v>1284</v>
      </c>
      <c r="F120" s="6" t="s">
        <v>33</v>
      </c>
      <c r="G120" s="6" t="s">
        <v>147</v>
      </c>
      <c r="H120" s="6"/>
      <c r="I120" s="6" t="n">
        <v>1</v>
      </c>
      <c r="J120" s="6"/>
      <c r="K120" s="6"/>
      <c r="L120" s="6" t="n">
        <v>1</v>
      </c>
      <c r="M120" s="6"/>
      <c r="N120" s="6" t="s">
        <v>1100</v>
      </c>
      <c r="O120" s="6" t="s">
        <v>147</v>
      </c>
    </row>
    <row r="121" customFormat="false" ht="15" hidden="false" customHeight="false" outlineLevel="0" collapsed="false">
      <c r="A121" s="6" t="n">
        <v>118</v>
      </c>
      <c r="B121" s="6" t="s">
        <v>1285</v>
      </c>
      <c r="C121" s="6" t="n">
        <v>2026</v>
      </c>
      <c r="D121" s="6" t="s">
        <v>1286</v>
      </c>
      <c r="E121" s="6" t="s">
        <v>946</v>
      </c>
      <c r="F121" s="6" t="s">
        <v>33</v>
      </c>
      <c r="G121" s="6" t="s">
        <v>146</v>
      </c>
      <c r="H121" s="6" t="n">
        <v>1</v>
      </c>
      <c r="I121" s="6"/>
      <c r="J121" s="6"/>
      <c r="K121" s="6"/>
      <c r="L121" s="6" t="n">
        <v>1</v>
      </c>
      <c r="M121" s="6" t="n">
        <v>1</v>
      </c>
      <c r="N121" s="6" t="s">
        <v>1183</v>
      </c>
      <c r="O121" s="6" t="s">
        <v>147</v>
      </c>
    </row>
    <row r="122" customFormat="false" ht="15" hidden="false" customHeight="false" outlineLevel="0" collapsed="false">
      <c r="A122" s="6" t="n">
        <v>119</v>
      </c>
      <c r="B122" s="6" t="s">
        <v>1287</v>
      </c>
      <c r="C122" s="6" t="n">
        <v>2026</v>
      </c>
      <c r="D122" s="6" t="s">
        <v>1288</v>
      </c>
      <c r="E122" s="6" t="s">
        <v>1289</v>
      </c>
      <c r="F122" s="6" t="s">
        <v>33</v>
      </c>
      <c r="G122" s="6" t="s">
        <v>147</v>
      </c>
      <c r="H122" s="6"/>
      <c r="I122" s="6" t="n">
        <v>1</v>
      </c>
      <c r="J122" s="6"/>
      <c r="K122" s="6"/>
      <c r="L122" s="6" t="n">
        <v>1</v>
      </c>
      <c r="M122" s="6"/>
      <c r="N122" s="6" t="s">
        <v>1100</v>
      </c>
      <c r="O122" s="6" t="s">
        <v>147</v>
      </c>
    </row>
    <row r="123" customFormat="false" ht="15" hidden="false" customHeight="false" outlineLevel="0" collapsed="false">
      <c r="A123" s="6" t="n">
        <v>120</v>
      </c>
      <c r="B123" s="6" t="s">
        <v>479</v>
      </c>
      <c r="C123" s="6" t="n">
        <v>2026</v>
      </c>
      <c r="D123" s="6" t="s">
        <v>482</v>
      </c>
      <c r="E123" s="6" t="s">
        <v>483</v>
      </c>
      <c r="F123" s="6" t="s">
        <v>33</v>
      </c>
      <c r="G123" s="6" t="s">
        <v>146</v>
      </c>
      <c r="H123" s="6"/>
      <c r="I123" s="6" t="n">
        <v>1</v>
      </c>
      <c r="J123" s="6" t="n">
        <v>1</v>
      </c>
      <c r="K123" s="6"/>
      <c r="L123" s="6" t="n">
        <v>1</v>
      </c>
      <c r="M123" s="6" t="n">
        <v>1</v>
      </c>
      <c r="N123" s="6" t="s">
        <v>1101</v>
      </c>
      <c r="O123" s="6" t="s">
        <v>146</v>
      </c>
    </row>
    <row r="124" customFormat="false" ht="15" hidden="false" customHeight="false" outlineLevel="0" collapsed="false">
      <c r="A124" s="6" t="n">
        <v>121</v>
      </c>
      <c r="B124" s="6" t="s">
        <v>1290</v>
      </c>
      <c r="C124" s="6" t="n">
        <v>2026</v>
      </c>
      <c r="D124" s="6" t="s">
        <v>1291</v>
      </c>
      <c r="E124" s="6" t="s">
        <v>1292</v>
      </c>
      <c r="F124" s="6" t="s">
        <v>33</v>
      </c>
      <c r="G124" s="6" t="s">
        <v>147</v>
      </c>
      <c r="H124" s="6"/>
      <c r="I124" s="6" t="n">
        <v>1</v>
      </c>
      <c r="J124" s="6"/>
      <c r="K124" s="6"/>
      <c r="L124" s="6" t="n">
        <v>1</v>
      </c>
      <c r="M124" s="6"/>
      <c r="N124" s="6" t="s">
        <v>1100</v>
      </c>
      <c r="O124" s="6" t="s">
        <v>147</v>
      </c>
    </row>
    <row r="125" customFormat="false" ht="15" hidden="false" customHeight="false" outlineLevel="0" collapsed="false">
      <c r="A125" s="6" t="n">
        <v>122</v>
      </c>
      <c r="B125" s="6" t="s">
        <v>1293</v>
      </c>
      <c r="C125" s="6" t="n">
        <v>2026</v>
      </c>
      <c r="D125" s="6" t="s">
        <v>1294</v>
      </c>
      <c r="E125" s="6" t="s">
        <v>1295</v>
      </c>
      <c r="F125" s="6" t="s">
        <v>33</v>
      </c>
      <c r="G125" s="6" t="s">
        <v>147</v>
      </c>
      <c r="H125" s="6"/>
      <c r="I125" s="6"/>
      <c r="J125" s="6"/>
      <c r="K125" s="6"/>
      <c r="L125" s="6" t="n">
        <v>1</v>
      </c>
      <c r="M125" s="6"/>
      <c r="N125" s="6" t="s">
        <v>1100</v>
      </c>
      <c r="O125" s="6" t="s">
        <v>147</v>
      </c>
    </row>
    <row r="126" customFormat="false" ht="15" hidden="false" customHeight="false" outlineLevel="0" collapsed="false">
      <c r="A126" s="6" t="n">
        <v>123</v>
      </c>
      <c r="B126" s="6" t="s">
        <v>1296</v>
      </c>
      <c r="C126" s="6" t="n">
        <v>2026</v>
      </c>
      <c r="D126" s="6" t="s">
        <v>1297</v>
      </c>
      <c r="E126" s="6" t="s">
        <v>1298</v>
      </c>
      <c r="F126" s="6" t="s">
        <v>33</v>
      </c>
      <c r="G126" s="6" t="s">
        <v>147</v>
      </c>
      <c r="H126" s="6"/>
      <c r="I126" s="6"/>
      <c r="J126" s="6"/>
      <c r="K126" s="6"/>
      <c r="L126" s="6" t="n">
        <v>1</v>
      </c>
      <c r="M126" s="6"/>
      <c r="N126" s="6" t="s">
        <v>1100</v>
      </c>
      <c r="O126" s="6" t="s">
        <v>147</v>
      </c>
    </row>
    <row r="127" customFormat="false" ht="15" hidden="false" customHeight="false" outlineLevel="0" collapsed="false">
      <c r="A127" s="6" t="n">
        <v>124</v>
      </c>
      <c r="B127" s="6" t="s">
        <v>1299</v>
      </c>
      <c r="C127" s="6" t="n">
        <v>2026</v>
      </c>
      <c r="D127" s="6" t="s">
        <v>1300</v>
      </c>
      <c r="E127" s="6" t="s">
        <v>946</v>
      </c>
      <c r="F127" s="6" t="s">
        <v>33</v>
      </c>
      <c r="G127" s="6" t="s">
        <v>147</v>
      </c>
      <c r="H127" s="6"/>
      <c r="I127" s="6"/>
      <c r="J127" s="6"/>
      <c r="K127" s="6"/>
      <c r="L127" s="6"/>
      <c r="M127" s="6"/>
      <c r="N127" s="6" t="s">
        <v>1100</v>
      </c>
      <c r="O127" s="6" t="s">
        <v>147</v>
      </c>
    </row>
    <row r="128" customFormat="false" ht="15" hidden="false" customHeight="false" outlineLevel="0" collapsed="false">
      <c r="A128" s="6" t="n">
        <v>125</v>
      </c>
      <c r="B128" s="6" t="s">
        <v>1301</v>
      </c>
      <c r="C128" s="6" t="n">
        <v>2026</v>
      </c>
      <c r="D128" s="6" t="s">
        <v>1302</v>
      </c>
      <c r="E128" s="6" t="s">
        <v>1303</v>
      </c>
      <c r="F128" s="6" t="s">
        <v>33</v>
      </c>
      <c r="G128" s="6" t="s">
        <v>147</v>
      </c>
      <c r="H128" s="6"/>
      <c r="I128" s="6"/>
      <c r="J128" s="6"/>
      <c r="K128" s="6"/>
      <c r="L128" s="6" t="n">
        <v>1</v>
      </c>
      <c r="M128" s="6"/>
      <c r="N128" s="6" t="s">
        <v>1100</v>
      </c>
      <c r="O128" s="6" t="s">
        <v>147</v>
      </c>
    </row>
    <row r="129" customFormat="false" ht="15" hidden="false" customHeight="false" outlineLevel="0" collapsed="false">
      <c r="A129" s="6" t="n">
        <v>126</v>
      </c>
      <c r="B129" s="6" t="s">
        <v>1304</v>
      </c>
      <c r="C129" s="6" t="n">
        <v>2026</v>
      </c>
      <c r="D129" s="6" t="s">
        <v>1305</v>
      </c>
      <c r="E129" s="6" t="s">
        <v>1306</v>
      </c>
      <c r="F129" s="6" t="s">
        <v>33</v>
      </c>
      <c r="G129" s="6" t="s">
        <v>147</v>
      </c>
      <c r="H129" s="6"/>
      <c r="I129" s="6"/>
      <c r="J129" s="6"/>
      <c r="K129" s="6"/>
      <c r="L129" s="6" t="n">
        <v>1</v>
      </c>
      <c r="M129" s="6"/>
      <c r="N129" s="6" t="s">
        <v>1100</v>
      </c>
      <c r="O129" s="6" t="s">
        <v>147</v>
      </c>
    </row>
    <row r="130" customFormat="false" ht="15" hidden="false" customHeight="false" outlineLevel="0" collapsed="false">
      <c r="A130" s="6" t="n">
        <v>127</v>
      </c>
      <c r="B130" s="6" t="s">
        <v>1307</v>
      </c>
      <c r="C130" s="6" t="n">
        <v>2026</v>
      </c>
      <c r="D130" s="6" t="s">
        <v>1308</v>
      </c>
      <c r="E130" s="6" t="s">
        <v>528</v>
      </c>
      <c r="F130" s="6" t="s">
        <v>33</v>
      </c>
      <c r="G130" s="6" t="s">
        <v>147</v>
      </c>
      <c r="H130" s="6"/>
      <c r="I130" s="6"/>
      <c r="J130" s="6"/>
      <c r="K130" s="6"/>
      <c r="L130" s="6" t="n">
        <v>1</v>
      </c>
      <c r="M130" s="6"/>
      <c r="N130" s="6" t="s">
        <v>1100</v>
      </c>
      <c r="O130" s="6" t="s">
        <v>147</v>
      </c>
    </row>
    <row r="131" customFormat="false" ht="15" hidden="false" customHeight="false" outlineLevel="0" collapsed="false">
      <c r="A131" s="6" t="n">
        <v>128</v>
      </c>
      <c r="B131" s="6" t="s">
        <v>1309</v>
      </c>
      <c r="C131" s="6" t="n">
        <v>2026</v>
      </c>
      <c r="D131" s="6" t="s">
        <v>1310</v>
      </c>
      <c r="E131" s="6" t="s">
        <v>1311</v>
      </c>
      <c r="F131" s="6" t="s">
        <v>146</v>
      </c>
      <c r="G131" s="6" t="s">
        <v>147</v>
      </c>
      <c r="H131" s="6"/>
      <c r="I131" s="6"/>
      <c r="J131" s="6" t="n">
        <v>1</v>
      </c>
      <c r="K131" s="6"/>
      <c r="L131" s="6" t="n">
        <v>1</v>
      </c>
      <c r="M131" s="6" t="n">
        <v>1</v>
      </c>
      <c r="N131" s="6" t="s">
        <v>1183</v>
      </c>
      <c r="O131" s="6" t="s">
        <v>147</v>
      </c>
    </row>
    <row r="132" customFormat="false" ht="15" hidden="false" customHeight="false" outlineLevel="0" collapsed="false">
      <c r="A132" s="6" t="n">
        <v>129</v>
      </c>
      <c r="B132" s="6" t="s">
        <v>1312</v>
      </c>
      <c r="C132" s="6" t="n">
        <v>2026</v>
      </c>
      <c r="D132" s="6" t="s">
        <v>1313</v>
      </c>
      <c r="E132" s="6" t="s">
        <v>1314</v>
      </c>
      <c r="F132" s="6" t="s">
        <v>33</v>
      </c>
      <c r="G132" s="6" t="s">
        <v>147</v>
      </c>
      <c r="H132" s="6"/>
      <c r="I132" s="6"/>
      <c r="J132" s="6"/>
      <c r="K132" s="6"/>
      <c r="L132" s="6" t="n">
        <v>1</v>
      </c>
      <c r="M132" s="6"/>
      <c r="N132" s="6" t="s">
        <v>1100</v>
      </c>
      <c r="O132" s="6" t="s">
        <v>147</v>
      </c>
    </row>
    <row r="133" customFormat="false" ht="15" hidden="false" customHeight="false" outlineLevel="0" collapsed="false">
      <c r="A133" s="6" t="n">
        <v>130</v>
      </c>
      <c r="B133" s="6" t="s">
        <v>1315</v>
      </c>
      <c r="C133" s="6" t="n">
        <v>2026</v>
      </c>
      <c r="D133" s="6" t="s">
        <v>1316</v>
      </c>
      <c r="E133" s="6" t="s">
        <v>1317</v>
      </c>
      <c r="F133" s="6" t="s">
        <v>33</v>
      </c>
      <c r="G133" s="6" t="s">
        <v>147</v>
      </c>
      <c r="H133" s="6"/>
      <c r="I133" s="6"/>
      <c r="J133" s="6"/>
      <c r="K133" s="6"/>
      <c r="L133" s="6" t="n">
        <v>1</v>
      </c>
      <c r="M133" s="6"/>
      <c r="N133" s="6" t="s">
        <v>1100</v>
      </c>
      <c r="O133" s="6" t="s">
        <v>147</v>
      </c>
    </row>
    <row r="134" customFormat="false" ht="15" hidden="false" customHeight="false" outlineLevel="0" collapsed="false">
      <c r="A134" s="6" t="n">
        <v>131</v>
      </c>
      <c r="B134" s="6" t="s">
        <v>1318</v>
      </c>
      <c r="C134" s="6" t="n">
        <v>2026</v>
      </c>
      <c r="D134" s="6" t="s">
        <v>1319</v>
      </c>
      <c r="E134" s="6" t="s">
        <v>946</v>
      </c>
      <c r="F134" s="6" t="s">
        <v>33</v>
      </c>
      <c r="G134" s="6" t="s">
        <v>147</v>
      </c>
      <c r="H134" s="6"/>
      <c r="I134" s="6"/>
      <c r="J134" s="6"/>
      <c r="K134" s="6"/>
      <c r="L134" s="6" t="n">
        <v>1</v>
      </c>
      <c r="M134" s="6"/>
      <c r="N134" s="6" t="s">
        <v>1100</v>
      </c>
      <c r="O134" s="6" t="s">
        <v>147</v>
      </c>
    </row>
    <row r="135" customFormat="false" ht="15" hidden="false" customHeight="false" outlineLevel="0" collapsed="false">
      <c r="A135" s="6" t="n">
        <v>132</v>
      </c>
      <c r="B135" s="6" t="s">
        <v>1320</v>
      </c>
      <c r="C135" s="6" t="n">
        <v>2026</v>
      </c>
      <c r="D135" s="6" t="s">
        <v>1321</v>
      </c>
      <c r="E135" s="6" t="s">
        <v>1322</v>
      </c>
      <c r="F135" s="6" t="s">
        <v>33</v>
      </c>
      <c r="G135" s="6" t="s">
        <v>147</v>
      </c>
      <c r="H135" s="6"/>
      <c r="I135" s="6"/>
      <c r="J135" s="6"/>
      <c r="K135" s="6"/>
      <c r="L135" s="6" t="n">
        <v>1</v>
      </c>
      <c r="M135" s="6"/>
      <c r="N135" s="6" t="s">
        <v>1100</v>
      </c>
      <c r="O135" s="6" t="s">
        <v>147</v>
      </c>
    </row>
    <row r="136" customFormat="false" ht="15" hidden="false" customHeight="false" outlineLevel="0" collapsed="false">
      <c r="A136" s="6" t="n">
        <v>133</v>
      </c>
      <c r="B136" s="6" t="s">
        <v>1323</v>
      </c>
      <c r="C136" s="6" t="n">
        <v>2026</v>
      </c>
      <c r="D136" s="6" t="s">
        <v>1324</v>
      </c>
      <c r="E136" s="6" t="s">
        <v>1317</v>
      </c>
      <c r="F136" s="6" t="s">
        <v>33</v>
      </c>
      <c r="G136" s="6" t="s">
        <v>147</v>
      </c>
      <c r="H136" s="6"/>
      <c r="I136" s="6"/>
      <c r="J136" s="6" t="n">
        <v>1</v>
      </c>
      <c r="K136" s="6"/>
      <c r="L136" s="6"/>
      <c r="M136" s="6"/>
      <c r="N136" s="6" t="s">
        <v>1100</v>
      </c>
      <c r="O136" s="6" t="s">
        <v>147</v>
      </c>
    </row>
    <row r="137" customFormat="false" ht="15" hidden="false" customHeight="false" outlineLevel="0" collapsed="false">
      <c r="A137" s="6" t="n">
        <v>134</v>
      </c>
      <c r="B137" s="6" t="s">
        <v>1325</v>
      </c>
      <c r="C137" s="6" t="n">
        <v>2026</v>
      </c>
      <c r="D137" s="6" t="s">
        <v>1326</v>
      </c>
      <c r="E137" s="6" t="s">
        <v>1327</v>
      </c>
      <c r="F137" s="6" t="s">
        <v>33</v>
      </c>
      <c r="G137" s="6" t="s">
        <v>147</v>
      </c>
      <c r="H137" s="6"/>
      <c r="I137" s="6"/>
      <c r="J137" s="6" t="n">
        <v>1</v>
      </c>
      <c r="K137" s="6"/>
      <c r="L137" s="6" t="n">
        <v>1</v>
      </c>
      <c r="M137" s="6"/>
      <c r="N137" s="6" t="s">
        <v>1100</v>
      </c>
      <c r="O137" s="6" t="s">
        <v>147</v>
      </c>
    </row>
    <row r="138" customFormat="false" ht="15" hidden="false" customHeight="false" outlineLevel="0" collapsed="false">
      <c r="A138" s="6" t="n">
        <v>135</v>
      </c>
      <c r="B138" s="6" t="s">
        <v>1328</v>
      </c>
      <c r="C138" s="6" t="n">
        <v>2026</v>
      </c>
      <c r="D138" s="6" t="s">
        <v>1329</v>
      </c>
      <c r="E138" s="6" t="s">
        <v>1330</v>
      </c>
      <c r="F138" s="6" t="s">
        <v>33</v>
      </c>
      <c r="G138" s="6" t="s">
        <v>147</v>
      </c>
      <c r="H138" s="6"/>
      <c r="I138" s="6"/>
      <c r="J138" s="6"/>
      <c r="K138" s="6"/>
      <c r="L138" s="6"/>
      <c r="M138" s="6"/>
      <c r="N138" s="6" t="s">
        <v>1100</v>
      </c>
      <c r="O138" s="6" t="s">
        <v>147</v>
      </c>
    </row>
    <row r="139" customFormat="false" ht="15" hidden="false" customHeight="false" outlineLevel="0" collapsed="false">
      <c r="A139" s="6" t="n">
        <v>136</v>
      </c>
      <c r="B139" s="6" t="s">
        <v>1331</v>
      </c>
      <c r="C139" s="6" t="n">
        <v>2026</v>
      </c>
      <c r="D139" s="6" t="s">
        <v>1332</v>
      </c>
      <c r="E139" s="6" t="s">
        <v>1333</v>
      </c>
      <c r="F139" s="6" t="s">
        <v>33</v>
      </c>
      <c r="G139" s="6" t="s">
        <v>147</v>
      </c>
      <c r="H139" s="6"/>
      <c r="I139" s="6"/>
      <c r="J139" s="6"/>
      <c r="K139" s="6"/>
      <c r="L139" s="6"/>
      <c r="M139" s="6"/>
      <c r="N139" s="6" t="s">
        <v>1100</v>
      </c>
      <c r="O139" s="6" t="s">
        <v>147</v>
      </c>
    </row>
    <row r="140" customFormat="false" ht="15" hidden="false" customHeight="false" outlineLevel="0" collapsed="false">
      <c r="A140" s="6" t="n">
        <v>137</v>
      </c>
      <c r="B140" s="6" t="s">
        <v>1334</v>
      </c>
      <c r="C140" s="6" t="n">
        <v>2026</v>
      </c>
      <c r="D140" s="6" t="s">
        <v>1335</v>
      </c>
      <c r="E140" s="6" t="s">
        <v>1336</v>
      </c>
      <c r="F140" s="6" t="s">
        <v>33</v>
      </c>
      <c r="G140" s="6" t="s">
        <v>147</v>
      </c>
      <c r="H140" s="6"/>
      <c r="I140" s="6"/>
      <c r="J140" s="6"/>
      <c r="K140" s="6"/>
      <c r="L140" s="6"/>
      <c r="M140" s="6"/>
      <c r="N140" s="6" t="s">
        <v>1100</v>
      </c>
      <c r="O140" s="6" t="s">
        <v>147</v>
      </c>
    </row>
    <row r="141" customFormat="false" ht="15" hidden="false" customHeight="false" outlineLevel="0" collapsed="false">
      <c r="A141" s="6" t="n">
        <v>138</v>
      </c>
      <c r="B141" s="6" t="s">
        <v>1337</v>
      </c>
      <c r="C141" s="6" t="n">
        <v>2026</v>
      </c>
      <c r="D141" s="6" t="s">
        <v>1338</v>
      </c>
      <c r="E141" s="6" t="s">
        <v>1186</v>
      </c>
      <c r="F141" s="6" t="s">
        <v>33</v>
      </c>
      <c r="G141" s="6" t="s">
        <v>147</v>
      </c>
      <c r="H141" s="6"/>
      <c r="I141" s="6"/>
      <c r="J141" s="6"/>
      <c r="K141" s="6"/>
      <c r="L141" s="6" t="n">
        <v>1</v>
      </c>
      <c r="M141" s="6"/>
      <c r="N141" s="6" t="s">
        <v>1100</v>
      </c>
      <c r="O141" s="6" t="s">
        <v>147</v>
      </c>
    </row>
    <row r="142" customFormat="false" ht="15" hidden="false" customHeight="false" outlineLevel="0" collapsed="false">
      <c r="A142" s="6" t="n">
        <v>139</v>
      </c>
      <c r="B142" s="6" t="s">
        <v>1339</v>
      </c>
      <c r="C142" s="6" t="n">
        <v>2026</v>
      </c>
      <c r="D142" s="6" t="s">
        <v>1340</v>
      </c>
      <c r="E142" s="6" t="s">
        <v>393</v>
      </c>
      <c r="F142" s="6" t="s">
        <v>33</v>
      </c>
      <c r="G142" s="6" t="s">
        <v>147</v>
      </c>
      <c r="H142" s="6"/>
      <c r="I142" s="6"/>
      <c r="J142" s="6"/>
      <c r="K142" s="6"/>
      <c r="L142" s="6" t="n">
        <v>1</v>
      </c>
      <c r="M142" s="6"/>
      <c r="N142" s="6" t="s">
        <v>1100</v>
      </c>
      <c r="O142" s="6" t="s">
        <v>147</v>
      </c>
    </row>
    <row r="143" customFormat="false" ht="15" hidden="false" customHeight="false" outlineLevel="0" collapsed="false">
      <c r="A143" s="6" t="n">
        <v>140</v>
      </c>
      <c r="B143" s="6" t="s">
        <v>1341</v>
      </c>
      <c r="C143" s="6" t="n">
        <v>2026</v>
      </c>
      <c r="D143" s="6" t="s">
        <v>1342</v>
      </c>
      <c r="E143" s="6" t="s">
        <v>946</v>
      </c>
      <c r="F143" s="6" t="s">
        <v>33</v>
      </c>
      <c r="G143" s="6" t="s">
        <v>147</v>
      </c>
      <c r="H143" s="6"/>
      <c r="I143" s="6"/>
      <c r="J143" s="6"/>
      <c r="K143" s="6"/>
      <c r="L143" s="6" t="n">
        <v>1</v>
      </c>
      <c r="M143" s="6"/>
      <c r="N143" s="6" t="s">
        <v>1100</v>
      </c>
      <c r="O143" s="6" t="s">
        <v>147</v>
      </c>
    </row>
    <row r="144" customFormat="false" ht="15" hidden="false" customHeight="false" outlineLevel="0" collapsed="false">
      <c r="A144" s="6" t="n">
        <v>141</v>
      </c>
      <c r="B144" s="6" t="s">
        <v>1343</v>
      </c>
      <c r="C144" s="6" t="n">
        <v>2026</v>
      </c>
      <c r="D144" s="6" t="s">
        <v>1344</v>
      </c>
      <c r="E144" s="6" t="s">
        <v>1345</v>
      </c>
      <c r="F144" s="6" t="s">
        <v>146</v>
      </c>
      <c r="G144" s="6" t="s">
        <v>147</v>
      </c>
      <c r="H144" s="6"/>
      <c r="I144" s="6"/>
      <c r="J144" s="6"/>
      <c r="K144" s="6"/>
      <c r="L144" s="6"/>
      <c r="M144" s="6" t="n">
        <v>1</v>
      </c>
      <c r="N144" s="6" t="s">
        <v>1183</v>
      </c>
      <c r="O144" s="6" t="s">
        <v>147</v>
      </c>
    </row>
    <row r="145" customFormat="false" ht="15" hidden="false" customHeight="false" outlineLevel="0" collapsed="false">
      <c r="A145" s="6" t="n">
        <v>142</v>
      </c>
      <c r="B145" s="6" t="s">
        <v>1346</v>
      </c>
      <c r="C145" s="6" t="n">
        <v>2026</v>
      </c>
      <c r="D145" s="6" t="s">
        <v>1347</v>
      </c>
      <c r="E145" s="6" t="s">
        <v>767</v>
      </c>
      <c r="F145" s="6" t="s">
        <v>33</v>
      </c>
      <c r="G145" s="6" t="s">
        <v>147</v>
      </c>
      <c r="H145" s="6"/>
      <c r="I145" s="6"/>
      <c r="J145" s="6"/>
      <c r="K145" s="6"/>
      <c r="L145" s="6" t="n">
        <v>1</v>
      </c>
      <c r="M145" s="6"/>
      <c r="N145" s="6" t="s">
        <v>1100</v>
      </c>
      <c r="O145" s="6" t="s">
        <v>147</v>
      </c>
    </row>
    <row r="146" customFormat="false" ht="15" hidden="false" customHeight="false" outlineLevel="0" collapsed="false">
      <c r="A146" s="6" t="n">
        <v>143</v>
      </c>
      <c r="B146" s="6" t="s">
        <v>1348</v>
      </c>
      <c r="C146" s="6" t="n">
        <v>2026</v>
      </c>
      <c r="D146" s="6" t="s">
        <v>1349</v>
      </c>
      <c r="E146" s="6" t="s">
        <v>1350</v>
      </c>
      <c r="F146" s="6" t="s">
        <v>33</v>
      </c>
      <c r="G146" s="6" t="s">
        <v>147</v>
      </c>
      <c r="H146" s="6"/>
      <c r="I146" s="6"/>
      <c r="J146" s="6" t="n">
        <v>1</v>
      </c>
      <c r="K146" s="6"/>
      <c r="L146" s="6" t="n">
        <v>1</v>
      </c>
      <c r="M146" s="6"/>
      <c r="N146" s="6" t="s">
        <v>1100</v>
      </c>
      <c r="O146" s="6" t="s">
        <v>147</v>
      </c>
    </row>
    <row r="147" customFormat="false" ht="15" hidden="false" customHeight="false" outlineLevel="0" collapsed="false">
      <c r="A147" s="6" t="n">
        <v>144</v>
      </c>
      <c r="B147" s="6" t="s">
        <v>1351</v>
      </c>
      <c r="C147" s="6" t="n">
        <v>2026</v>
      </c>
      <c r="D147" s="6" t="s">
        <v>1352</v>
      </c>
      <c r="E147" s="6" t="s">
        <v>1353</v>
      </c>
      <c r="F147" s="6" t="s">
        <v>33</v>
      </c>
      <c r="G147" s="6" t="s">
        <v>147</v>
      </c>
      <c r="H147" s="6"/>
      <c r="I147" s="6"/>
      <c r="J147" s="6" t="n">
        <v>1</v>
      </c>
      <c r="K147" s="6"/>
      <c r="L147" s="6" t="n">
        <v>1</v>
      </c>
      <c r="M147" s="6"/>
      <c r="N147" s="6" t="s">
        <v>1100</v>
      </c>
      <c r="O147" s="6" t="s">
        <v>147</v>
      </c>
    </row>
    <row r="148" customFormat="false" ht="15" hidden="false" customHeight="false" outlineLevel="0" collapsed="false">
      <c r="A148" s="6" t="n">
        <v>145</v>
      </c>
      <c r="B148" s="6" t="s">
        <v>1354</v>
      </c>
      <c r="C148" s="6" t="n">
        <v>2026</v>
      </c>
      <c r="D148" s="6" t="s">
        <v>1355</v>
      </c>
      <c r="E148" s="6" t="s">
        <v>1356</v>
      </c>
      <c r="F148" s="6" t="s">
        <v>33</v>
      </c>
      <c r="G148" s="6" t="s">
        <v>147</v>
      </c>
      <c r="H148" s="6"/>
      <c r="I148" s="6"/>
      <c r="J148" s="6"/>
      <c r="K148" s="6"/>
      <c r="L148" s="6" t="n">
        <v>1</v>
      </c>
      <c r="M148" s="6"/>
      <c r="N148" s="6" t="s">
        <v>1100</v>
      </c>
      <c r="O148" s="6" t="s">
        <v>147</v>
      </c>
    </row>
    <row r="149" customFormat="false" ht="15" hidden="false" customHeight="false" outlineLevel="0" collapsed="false">
      <c r="A149" s="6" t="n">
        <v>146</v>
      </c>
      <c r="B149" s="6" t="s">
        <v>1357</v>
      </c>
      <c r="C149" s="6" t="n">
        <v>2025</v>
      </c>
      <c r="D149" s="6" t="s">
        <v>1358</v>
      </c>
      <c r="E149" s="6" t="s">
        <v>1359</v>
      </c>
      <c r="F149" s="6" t="s">
        <v>33</v>
      </c>
      <c r="G149" s="6" t="s">
        <v>147</v>
      </c>
      <c r="H149" s="6"/>
      <c r="I149" s="6" t="n">
        <v>1</v>
      </c>
      <c r="J149" s="6"/>
      <c r="K149" s="6"/>
      <c r="L149" s="6" t="n">
        <v>1</v>
      </c>
      <c r="M149" s="6"/>
      <c r="N149" s="6" t="s">
        <v>1100</v>
      </c>
      <c r="O149" s="6" t="s">
        <v>147</v>
      </c>
    </row>
    <row r="150" customFormat="false" ht="15" hidden="false" customHeight="false" outlineLevel="0" collapsed="false">
      <c r="A150" s="6" t="n">
        <v>147</v>
      </c>
      <c r="B150" s="6" t="s">
        <v>1360</v>
      </c>
      <c r="C150" s="6" t="n">
        <v>2025</v>
      </c>
      <c r="D150" s="6" t="s">
        <v>1361</v>
      </c>
      <c r="E150" s="6" t="s">
        <v>1362</v>
      </c>
      <c r="F150" s="6" t="s">
        <v>33</v>
      </c>
      <c r="G150" s="6" t="s">
        <v>147</v>
      </c>
      <c r="H150" s="6"/>
      <c r="I150" s="6" t="n">
        <v>1</v>
      </c>
      <c r="J150" s="6"/>
      <c r="K150" s="6"/>
      <c r="L150" s="6" t="n">
        <v>1</v>
      </c>
      <c r="M150" s="6"/>
      <c r="N150" s="6" t="s">
        <v>1100</v>
      </c>
      <c r="O150" s="6" t="s">
        <v>147</v>
      </c>
    </row>
    <row r="151" customFormat="false" ht="15" hidden="false" customHeight="false" outlineLevel="0" collapsed="false">
      <c r="A151" s="6" t="n">
        <v>148</v>
      </c>
      <c r="B151" s="6" t="s">
        <v>1363</v>
      </c>
      <c r="C151" s="6" t="n">
        <v>2025</v>
      </c>
      <c r="D151" s="6" t="s">
        <v>1364</v>
      </c>
      <c r="E151" s="6" t="s">
        <v>1365</v>
      </c>
      <c r="F151" s="6" t="s">
        <v>33</v>
      </c>
      <c r="G151" s="6" t="s">
        <v>147</v>
      </c>
      <c r="H151" s="6"/>
      <c r="I151" s="6" t="n">
        <v>1</v>
      </c>
      <c r="J151" s="6"/>
      <c r="K151" s="6"/>
      <c r="L151" s="6" t="n">
        <v>1</v>
      </c>
      <c r="M151" s="6"/>
      <c r="N151" s="6" t="s">
        <v>1100</v>
      </c>
      <c r="O151" s="6" t="s">
        <v>147</v>
      </c>
    </row>
    <row r="152" customFormat="false" ht="15" hidden="false" customHeight="false" outlineLevel="0" collapsed="false">
      <c r="A152" s="6" t="n">
        <v>149</v>
      </c>
      <c r="B152" s="6" t="s">
        <v>1366</v>
      </c>
      <c r="C152" s="6" t="n">
        <v>2025</v>
      </c>
      <c r="D152" s="6" t="s">
        <v>1367</v>
      </c>
      <c r="E152" s="6" t="s">
        <v>1368</v>
      </c>
      <c r="F152" s="6" t="s">
        <v>33</v>
      </c>
      <c r="G152" s="6" t="s">
        <v>147</v>
      </c>
      <c r="H152" s="6"/>
      <c r="I152" s="6"/>
      <c r="J152" s="6"/>
      <c r="K152" s="6"/>
      <c r="L152" s="6" t="n">
        <v>1</v>
      </c>
      <c r="M152" s="6"/>
      <c r="N152" s="6" t="s">
        <v>1100</v>
      </c>
      <c r="O152" s="6" t="s">
        <v>147</v>
      </c>
    </row>
    <row r="153" customFormat="false" ht="15" hidden="false" customHeight="false" outlineLevel="0" collapsed="false">
      <c r="A153" s="6" t="n">
        <v>150</v>
      </c>
      <c r="B153" s="6" t="s">
        <v>1369</v>
      </c>
      <c r="C153" s="6" t="n">
        <v>2025</v>
      </c>
      <c r="D153" s="6" t="s">
        <v>1370</v>
      </c>
      <c r="E153" s="6" t="s">
        <v>1371</v>
      </c>
      <c r="F153" s="6" t="s">
        <v>33</v>
      </c>
      <c r="G153" s="6" t="s">
        <v>147</v>
      </c>
      <c r="H153" s="6"/>
      <c r="I153" s="6"/>
      <c r="J153" s="6" t="n">
        <v>1</v>
      </c>
      <c r="K153" s="6"/>
      <c r="L153" s="6"/>
      <c r="M153" s="6"/>
      <c r="N153" s="6" t="s">
        <v>1100</v>
      </c>
      <c r="O153" s="6" t="s">
        <v>147</v>
      </c>
    </row>
    <row r="154" customFormat="false" ht="15" hidden="false" customHeight="false" outlineLevel="0" collapsed="false">
      <c r="A154" s="6" t="n">
        <v>151</v>
      </c>
      <c r="B154" s="6" t="s">
        <v>1372</v>
      </c>
      <c r="C154" s="6" t="n">
        <v>2025</v>
      </c>
      <c r="D154" s="6" t="s">
        <v>1373</v>
      </c>
      <c r="E154" s="6" t="s">
        <v>1374</v>
      </c>
      <c r="F154" s="6" t="s">
        <v>146</v>
      </c>
      <c r="G154" s="6" t="s">
        <v>147</v>
      </c>
      <c r="H154" s="6"/>
      <c r="I154" s="6"/>
      <c r="J154" s="6"/>
      <c r="K154" s="6"/>
      <c r="L154" s="6" t="n">
        <v>1</v>
      </c>
      <c r="M154" s="6" t="n">
        <v>1</v>
      </c>
      <c r="N154" s="6" t="s">
        <v>1183</v>
      </c>
      <c r="O154" s="6" t="s">
        <v>147</v>
      </c>
    </row>
    <row r="155" customFormat="false" ht="15" hidden="false" customHeight="false" outlineLevel="0" collapsed="false">
      <c r="A155" s="6" t="n">
        <v>152</v>
      </c>
      <c r="B155" s="6" t="s">
        <v>803</v>
      </c>
      <c r="C155" s="6" t="n">
        <v>2025</v>
      </c>
      <c r="D155" s="6" t="s">
        <v>806</v>
      </c>
      <c r="E155" s="6" t="s">
        <v>807</v>
      </c>
      <c r="F155" s="6" t="s">
        <v>146</v>
      </c>
      <c r="G155" s="6" t="s">
        <v>146</v>
      </c>
      <c r="H155" s="6" t="n">
        <v>1</v>
      </c>
      <c r="I155" s="6" t="n">
        <v>1</v>
      </c>
      <c r="J155" s="6"/>
      <c r="K155" s="6" t="n">
        <v>1</v>
      </c>
      <c r="L155" s="6" t="n">
        <v>1</v>
      </c>
      <c r="M155" s="6"/>
      <c r="N155" s="6" t="s">
        <v>1100</v>
      </c>
      <c r="O155" s="6" t="s">
        <v>146</v>
      </c>
    </row>
    <row r="156" customFormat="false" ht="15" hidden="false" customHeight="false" outlineLevel="0" collapsed="false">
      <c r="A156" s="6" t="n">
        <v>153</v>
      </c>
      <c r="B156" s="6" t="s">
        <v>671</v>
      </c>
      <c r="C156" s="6" t="n">
        <v>2025</v>
      </c>
      <c r="D156" s="6" t="s">
        <v>674</v>
      </c>
      <c r="E156" s="6" t="s">
        <v>675</v>
      </c>
      <c r="F156" s="6" t="s">
        <v>146</v>
      </c>
      <c r="G156" s="6" t="s">
        <v>146</v>
      </c>
      <c r="H156" s="6" t="n">
        <v>1</v>
      </c>
      <c r="I156" s="6" t="n">
        <v>1</v>
      </c>
      <c r="J156" s="6"/>
      <c r="K156" s="6" t="n">
        <v>1</v>
      </c>
      <c r="L156" s="6" t="n">
        <v>1</v>
      </c>
      <c r="M156" s="6"/>
      <c r="N156" s="6" t="s">
        <v>1100</v>
      </c>
      <c r="O156" s="6" t="s">
        <v>146</v>
      </c>
    </row>
    <row r="157" customFormat="false" ht="15" hidden="false" customHeight="false" outlineLevel="0" collapsed="false">
      <c r="A157" s="6" t="n">
        <v>154</v>
      </c>
      <c r="B157" s="6" t="s">
        <v>593</v>
      </c>
      <c r="C157" s="6" t="n">
        <v>2025</v>
      </c>
      <c r="D157" s="6" t="s">
        <v>596</v>
      </c>
      <c r="E157" s="6" t="s">
        <v>247</v>
      </c>
      <c r="F157" s="6" t="s">
        <v>146</v>
      </c>
      <c r="G157" s="6" t="s">
        <v>146</v>
      </c>
      <c r="H157" s="6" t="n">
        <v>1</v>
      </c>
      <c r="I157" s="6" t="n">
        <v>1</v>
      </c>
      <c r="J157" s="6" t="n">
        <v>1</v>
      </c>
      <c r="K157" s="6" t="n">
        <v>1</v>
      </c>
      <c r="L157" s="6" t="n">
        <v>1</v>
      </c>
      <c r="M157" s="6"/>
      <c r="N157" s="6" t="s">
        <v>1100</v>
      </c>
      <c r="O157" s="6" t="s">
        <v>146</v>
      </c>
    </row>
    <row r="158" customFormat="false" ht="15" hidden="false" customHeight="false" outlineLevel="0" collapsed="false">
      <c r="A158" s="6" t="n">
        <v>155</v>
      </c>
      <c r="B158" s="6" t="s">
        <v>688</v>
      </c>
      <c r="C158" s="6" t="n">
        <v>2025</v>
      </c>
      <c r="D158" s="6" t="s">
        <v>691</v>
      </c>
      <c r="E158" s="6" t="s">
        <v>247</v>
      </c>
      <c r="F158" s="6" t="s">
        <v>146</v>
      </c>
      <c r="G158" s="6" t="s">
        <v>146</v>
      </c>
      <c r="H158" s="6" t="n">
        <v>1</v>
      </c>
      <c r="I158" s="6" t="n">
        <v>1</v>
      </c>
      <c r="J158" s="6" t="n">
        <v>1</v>
      </c>
      <c r="K158" s="6" t="n">
        <v>1</v>
      </c>
      <c r="L158" s="6" t="n">
        <v>1</v>
      </c>
      <c r="M158" s="6"/>
      <c r="N158" s="6" t="s">
        <v>1100</v>
      </c>
      <c r="O158" s="6" t="s">
        <v>146</v>
      </c>
    </row>
    <row r="159" customFormat="false" ht="15" hidden="false" customHeight="false" outlineLevel="0" collapsed="false">
      <c r="A159" s="6" t="n">
        <v>156</v>
      </c>
      <c r="B159" s="6" t="s">
        <v>651</v>
      </c>
      <c r="C159" s="6" t="n">
        <v>2025</v>
      </c>
      <c r="D159" s="6" t="s">
        <v>654</v>
      </c>
      <c r="E159" s="6" t="s">
        <v>247</v>
      </c>
      <c r="F159" s="6" t="s">
        <v>146</v>
      </c>
      <c r="G159" s="6" t="s">
        <v>146</v>
      </c>
      <c r="H159" s="6" t="n">
        <v>1</v>
      </c>
      <c r="I159" s="6" t="n">
        <v>1</v>
      </c>
      <c r="J159" s="6" t="n">
        <v>1</v>
      </c>
      <c r="K159" s="6" t="n">
        <v>1</v>
      </c>
      <c r="L159" s="6" t="n">
        <v>1</v>
      </c>
      <c r="M159" s="6"/>
      <c r="N159" s="6" t="s">
        <v>1100</v>
      </c>
      <c r="O159" s="6" t="s">
        <v>146</v>
      </c>
    </row>
    <row r="160" customFormat="false" ht="15" hidden="false" customHeight="false" outlineLevel="0" collapsed="false">
      <c r="A160" s="6" t="n">
        <v>157</v>
      </c>
      <c r="B160" s="6" t="s">
        <v>1375</v>
      </c>
      <c r="C160" s="6" t="n">
        <v>2025</v>
      </c>
      <c r="D160" s="6" t="s">
        <v>1376</v>
      </c>
      <c r="E160" s="6" t="s">
        <v>1377</v>
      </c>
      <c r="F160" s="6" t="s">
        <v>33</v>
      </c>
      <c r="G160" s="6" t="s">
        <v>147</v>
      </c>
      <c r="H160" s="6"/>
      <c r="I160" s="6" t="n">
        <v>1</v>
      </c>
      <c r="J160" s="6"/>
      <c r="K160" s="6"/>
      <c r="L160" s="6" t="n">
        <v>1</v>
      </c>
      <c r="M160" s="6"/>
      <c r="N160" s="6" t="s">
        <v>1100</v>
      </c>
      <c r="O160" s="6" t="s">
        <v>147</v>
      </c>
    </row>
    <row r="161" customFormat="false" ht="15" hidden="false" customHeight="false" outlineLevel="0" collapsed="false">
      <c r="A161" s="6" t="n">
        <v>158</v>
      </c>
      <c r="B161" s="6" t="s">
        <v>1378</v>
      </c>
      <c r="C161" s="6" t="n">
        <v>2025</v>
      </c>
      <c r="D161" s="6" t="s">
        <v>1379</v>
      </c>
      <c r="E161" s="6" t="s">
        <v>1159</v>
      </c>
      <c r="F161" s="6" t="s">
        <v>33</v>
      </c>
      <c r="G161" s="6" t="s">
        <v>147</v>
      </c>
      <c r="H161" s="6"/>
      <c r="I161" s="6" t="n">
        <v>1</v>
      </c>
      <c r="J161" s="6"/>
      <c r="K161" s="6"/>
      <c r="L161" s="6" t="n">
        <v>1</v>
      </c>
      <c r="M161" s="6"/>
      <c r="N161" s="6" t="s">
        <v>1100</v>
      </c>
      <c r="O161" s="6" t="s">
        <v>147</v>
      </c>
    </row>
    <row r="162" customFormat="false" ht="15" hidden="false" customHeight="false" outlineLevel="0" collapsed="false">
      <c r="A162" s="6" t="n">
        <v>159</v>
      </c>
      <c r="B162" s="6" t="s">
        <v>1380</v>
      </c>
      <c r="C162" s="6" t="n">
        <v>2025</v>
      </c>
      <c r="D162" s="6" t="s">
        <v>1381</v>
      </c>
      <c r="E162" s="6" t="s">
        <v>773</v>
      </c>
      <c r="F162" s="6" t="s">
        <v>33</v>
      </c>
      <c r="G162" s="6" t="s">
        <v>146</v>
      </c>
      <c r="H162" s="6"/>
      <c r="I162" s="6" t="n">
        <v>1</v>
      </c>
      <c r="J162" s="6" t="n">
        <v>1</v>
      </c>
      <c r="K162" s="6"/>
      <c r="L162" s="6"/>
      <c r="M162" s="6" t="n">
        <v>1</v>
      </c>
      <c r="N162" s="6" t="s">
        <v>1183</v>
      </c>
      <c r="O162" s="6" t="s">
        <v>147</v>
      </c>
    </row>
    <row r="163" customFormat="false" ht="15" hidden="false" customHeight="false" outlineLevel="0" collapsed="false">
      <c r="A163" s="6" t="n">
        <v>160</v>
      </c>
      <c r="B163" s="6" t="s">
        <v>1382</v>
      </c>
      <c r="C163" s="6" t="n">
        <v>2025</v>
      </c>
      <c r="D163" s="6" t="s">
        <v>1383</v>
      </c>
      <c r="E163" s="6" t="s">
        <v>1384</v>
      </c>
      <c r="F163" s="6" t="s">
        <v>33</v>
      </c>
      <c r="G163" s="6" t="s">
        <v>147</v>
      </c>
      <c r="H163" s="6"/>
      <c r="I163" s="6"/>
      <c r="J163" s="6"/>
      <c r="K163" s="6"/>
      <c r="L163" s="6" t="n">
        <v>1</v>
      </c>
      <c r="M163" s="6"/>
      <c r="N163" s="6" t="s">
        <v>1100</v>
      </c>
      <c r="O163" s="6" t="s">
        <v>147</v>
      </c>
    </row>
    <row r="164" customFormat="false" ht="15" hidden="false" customHeight="false" outlineLevel="0" collapsed="false">
      <c r="A164" s="6" t="n">
        <v>161</v>
      </c>
      <c r="B164" s="6" t="s">
        <v>1385</v>
      </c>
      <c r="C164" s="6" t="n">
        <v>2025</v>
      </c>
      <c r="D164" s="6" t="s">
        <v>1386</v>
      </c>
      <c r="E164" s="6" t="s">
        <v>1387</v>
      </c>
      <c r="F164" s="6" t="s">
        <v>33</v>
      </c>
      <c r="G164" s="6" t="s">
        <v>147</v>
      </c>
      <c r="H164" s="6"/>
      <c r="I164" s="6"/>
      <c r="J164" s="6"/>
      <c r="K164" s="6"/>
      <c r="L164" s="6" t="n">
        <v>1</v>
      </c>
      <c r="M164" s="6"/>
      <c r="N164" s="6" t="s">
        <v>1100</v>
      </c>
      <c r="O164" s="6" t="s">
        <v>147</v>
      </c>
    </row>
    <row r="165" customFormat="false" ht="15" hidden="false" customHeight="false" outlineLevel="0" collapsed="false">
      <c r="A165" s="6" t="n">
        <v>162</v>
      </c>
      <c r="B165" s="6" t="s">
        <v>1388</v>
      </c>
      <c r="C165" s="6" t="n">
        <v>2025</v>
      </c>
      <c r="D165" s="6" t="s">
        <v>1389</v>
      </c>
      <c r="E165" s="6" t="s">
        <v>1390</v>
      </c>
      <c r="F165" s="6" t="s">
        <v>33</v>
      </c>
      <c r="G165" s="6" t="s">
        <v>147</v>
      </c>
      <c r="H165" s="6"/>
      <c r="I165" s="6"/>
      <c r="J165" s="6"/>
      <c r="K165" s="6"/>
      <c r="L165" s="6" t="n">
        <v>1</v>
      </c>
      <c r="M165" s="6"/>
      <c r="N165" s="6" t="s">
        <v>1100</v>
      </c>
      <c r="O165" s="6" t="s">
        <v>147</v>
      </c>
    </row>
    <row r="166" customFormat="false" ht="15" hidden="false" customHeight="false" outlineLevel="0" collapsed="false">
      <c r="A166" s="6" t="n">
        <v>163</v>
      </c>
      <c r="B166" s="6" t="s">
        <v>1391</v>
      </c>
      <c r="C166" s="6" t="n">
        <v>2025</v>
      </c>
      <c r="D166" s="6" t="s">
        <v>1392</v>
      </c>
      <c r="E166" s="6" t="s">
        <v>1124</v>
      </c>
      <c r="F166" s="6" t="s">
        <v>33</v>
      </c>
      <c r="G166" s="6" t="s">
        <v>147</v>
      </c>
      <c r="H166" s="6"/>
      <c r="I166" s="6"/>
      <c r="J166" s="6"/>
      <c r="K166" s="6"/>
      <c r="L166" s="6" t="n">
        <v>1</v>
      </c>
      <c r="M166" s="6"/>
      <c r="N166" s="6" t="s">
        <v>1100</v>
      </c>
      <c r="O166" s="6" t="s">
        <v>147</v>
      </c>
    </row>
    <row r="167" customFormat="false" ht="15" hidden="false" customHeight="false" outlineLevel="0" collapsed="false">
      <c r="A167" s="6" t="n">
        <v>164</v>
      </c>
      <c r="B167" s="6" t="s">
        <v>1393</v>
      </c>
      <c r="C167" s="6" t="n">
        <v>2025</v>
      </c>
      <c r="D167" s="6" t="s">
        <v>1394</v>
      </c>
      <c r="E167" s="6" t="s">
        <v>1387</v>
      </c>
      <c r="F167" s="6" t="s">
        <v>33</v>
      </c>
      <c r="G167" s="6" t="s">
        <v>147</v>
      </c>
      <c r="H167" s="6"/>
      <c r="I167" s="6"/>
      <c r="J167" s="6"/>
      <c r="K167" s="6"/>
      <c r="L167" s="6" t="n">
        <v>1</v>
      </c>
      <c r="M167" s="6"/>
      <c r="N167" s="6" t="s">
        <v>1100</v>
      </c>
      <c r="O167" s="6" t="s">
        <v>147</v>
      </c>
    </row>
    <row r="168" customFormat="false" ht="15" hidden="false" customHeight="false" outlineLevel="0" collapsed="false">
      <c r="A168" s="6" t="n">
        <v>165</v>
      </c>
      <c r="B168" s="6" t="s">
        <v>1395</v>
      </c>
      <c r="C168" s="6" t="n">
        <v>2025</v>
      </c>
      <c r="D168" s="6" t="s">
        <v>1396</v>
      </c>
      <c r="E168" s="6" t="s">
        <v>1397</v>
      </c>
      <c r="F168" s="6" t="s">
        <v>33</v>
      </c>
      <c r="G168" s="6" t="s">
        <v>147</v>
      </c>
      <c r="H168" s="6"/>
      <c r="I168" s="6"/>
      <c r="J168" s="6"/>
      <c r="K168" s="6"/>
      <c r="L168" s="6" t="n">
        <v>1</v>
      </c>
      <c r="M168" s="6"/>
      <c r="N168" s="6" t="s">
        <v>1100</v>
      </c>
      <c r="O168" s="6" t="s">
        <v>147</v>
      </c>
    </row>
    <row r="169" customFormat="false" ht="15" hidden="false" customHeight="false" outlineLevel="0" collapsed="false">
      <c r="A169" s="6" t="n">
        <v>166</v>
      </c>
      <c r="B169" s="6" t="s">
        <v>1398</v>
      </c>
      <c r="C169" s="6" t="n">
        <v>2025</v>
      </c>
      <c r="D169" s="6" t="s">
        <v>1399</v>
      </c>
      <c r="E169" s="6" t="s">
        <v>1387</v>
      </c>
      <c r="F169" s="6" t="s">
        <v>33</v>
      </c>
      <c r="G169" s="6" t="s">
        <v>147</v>
      </c>
      <c r="H169" s="6"/>
      <c r="I169" s="6"/>
      <c r="J169" s="6"/>
      <c r="K169" s="6"/>
      <c r="L169" s="6" t="n">
        <v>1</v>
      </c>
      <c r="M169" s="6"/>
      <c r="N169" s="6" t="s">
        <v>1100</v>
      </c>
      <c r="O169" s="6" t="s">
        <v>147</v>
      </c>
    </row>
    <row r="170" customFormat="false" ht="15" hidden="false" customHeight="false" outlineLevel="0" collapsed="false">
      <c r="A170" s="6" t="n">
        <v>167</v>
      </c>
      <c r="B170" s="6" t="s">
        <v>1400</v>
      </c>
      <c r="C170" s="6" t="n">
        <v>2025</v>
      </c>
      <c r="D170" s="6" t="s">
        <v>1401</v>
      </c>
      <c r="E170" s="6" t="s">
        <v>1402</v>
      </c>
      <c r="F170" s="6" t="s">
        <v>33</v>
      </c>
      <c r="G170" s="6" t="s">
        <v>147</v>
      </c>
      <c r="H170" s="6"/>
      <c r="I170" s="6"/>
      <c r="J170" s="6"/>
      <c r="K170" s="6"/>
      <c r="L170" s="6" t="n">
        <v>1</v>
      </c>
      <c r="M170" s="6"/>
      <c r="N170" s="6" t="s">
        <v>1100</v>
      </c>
      <c r="O170" s="6" t="s">
        <v>147</v>
      </c>
    </row>
    <row r="171" customFormat="false" ht="15" hidden="false" customHeight="false" outlineLevel="0" collapsed="false">
      <c r="A171" s="6" t="n">
        <v>168</v>
      </c>
      <c r="B171" s="6" t="s">
        <v>1403</v>
      </c>
      <c r="C171" s="6" t="n">
        <v>2025</v>
      </c>
      <c r="D171" s="6" t="s">
        <v>1404</v>
      </c>
      <c r="E171" s="6" t="s">
        <v>1387</v>
      </c>
      <c r="F171" s="6" t="s">
        <v>33</v>
      </c>
      <c r="G171" s="6" t="s">
        <v>147</v>
      </c>
      <c r="H171" s="6"/>
      <c r="I171" s="6"/>
      <c r="J171" s="6"/>
      <c r="K171" s="6"/>
      <c r="L171" s="6" t="n">
        <v>1</v>
      </c>
      <c r="M171" s="6"/>
      <c r="N171" s="6" t="s">
        <v>1100</v>
      </c>
      <c r="O171" s="6" t="s">
        <v>147</v>
      </c>
    </row>
    <row r="172" customFormat="false" ht="15" hidden="false" customHeight="false" outlineLevel="0" collapsed="false">
      <c r="A172" s="6" t="n">
        <v>169</v>
      </c>
      <c r="B172" s="6" t="s">
        <v>1405</v>
      </c>
      <c r="C172" s="6" t="n">
        <v>2025</v>
      </c>
      <c r="D172" s="6" t="s">
        <v>1406</v>
      </c>
      <c r="E172" s="6" t="s">
        <v>1159</v>
      </c>
      <c r="F172" s="6" t="s">
        <v>33</v>
      </c>
      <c r="G172" s="6" t="s">
        <v>147</v>
      </c>
      <c r="H172" s="6"/>
      <c r="I172" s="6"/>
      <c r="J172" s="6"/>
      <c r="K172" s="6"/>
      <c r="L172" s="6" t="n">
        <v>1</v>
      </c>
      <c r="M172" s="6"/>
      <c r="N172" s="6" t="s">
        <v>1100</v>
      </c>
      <c r="O172" s="6" t="s">
        <v>147</v>
      </c>
    </row>
    <row r="173" customFormat="false" ht="15" hidden="false" customHeight="false" outlineLevel="0" collapsed="false">
      <c r="A173" s="6" t="n">
        <v>170</v>
      </c>
      <c r="B173" s="6" t="s">
        <v>1407</v>
      </c>
      <c r="C173" s="6" t="n">
        <v>2025</v>
      </c>
      <c r="D173" s="6" t="s">
        <v>1408</v>
      </c>
      <c r="E173" s="6" t="s">
        <v>1409</v>
      </c>
      <c r="F173" s="6" t="s">
        <v>33</v>
      </c>
      <c r="G173" s="6" t="s">
        <v>147</v>
      </c>
      <c r="H173" s="6"/>
      <c r="I173" s="6"/>
      <c r="J173" s="6"/>
      <c r="K173" s="6"/>
      <c r="L173" s="6" t="n">
        <v>1</v>
      </c>
      <c r="M173" s="6"/>
      <c r="N173" s="6" t="s">
        <v>1100</v>
      </c>
      <c r="O173" s="6" t="s">
        <v>147</v>
      </c>
    </row>
    <row r="174" customFormat="false" ht="15" hidden="false" customHeight="false" outlineLevel="0" collapsed="false">
      <c r="A174" s="6" t="n">
        <v>171</v>
      </c>
      <c r="B174" s="6" t="s">
        <v>1410</v>
      </c>
      <c r="C174" s="6" t="n">
        <v>2025</v>
      </c>
      <c r="D174" s="6" t="s">
        <v>1411</v>
      </c>
      <c r="E174" s="6" t="s">
        <v>1412</v>
      </c>
      <c r="F174" s="6" t="s">
        <v>33</v>
      </c>
      <c r="G174" s="6" t="s">
        <v>147</v>
      </c>
      <c r="H174" s="6"/>
      <c r="I174" s="6" t="n">
        <v>1</v>
      </c>
      <c r="J174" s="6"/>
      <c r="K174" s="6"/>
      <c r="L174" s="6" t="n">
        <v>1</v>
      </c>
      <c r="M174" s="6"/>
      <c r="N174" s="6" t="s">
        <v>1100</v>
      </c>
      <c r="O174" s="6" t="s">
        <v>147</v>
      </c>
    </row>
    <row r="175" customFormat="false" ht="15" hidden="false" customHeight="false" outlineLevel="0" collapsed="false">
      <c r="A175" s="6" t="n">
        <v>172</v>
      </c>
      <c r="B175" s="6" t="s">
        <v>498</v>
      </c>
      <c r="C175" s="6" t="n">
        <v>2025</v>
      </c>
      <c r="D175" s="6" t="s">
        <v>501</v>
      </c>
      <c r="E175" s="6" t="s">
        <v>247</v>
      </c>
      <c r="F175" s="6" t="s">
        <v>146</v>
      </c>
      <c r="G175" s="6" t="s">
        <v>146</v>
      </c>
      <c r="H175" s="6"/>
      <c r="I175" s="6" t="n">
        <v>1</v>
      </c>
      <c r="J175" s="6" t="n">
        <v>1</v>
      </c>
      <c r="K175" s="6" t="n">
        <v>1</v>
      </c>
      <c r="L175" s="6" t="n">
        <v>1</v>
      </c>
      <c r="M175" s="6"/>
      <c r="N175" s="6" t="s">
        <v>1100</v>
      </c>
      <c r="O175" s="6" t="s">
        <v>146</v>
      </c>
    </row>
    <row r="176" customFormat="false" ht="15" hidden="false" customHeight="false" outlineLevel="0" collapsed="false">
      <c r="A176" s="6" t="n">
        <v>173</v>
      </c>
      <c r="B176" s="6" t="s">
        <v>792</v>
      </c>
      <c r="C176" s="6" t="n">
        <v>2025</v>
      </c>
      <c r="D176" s="6" t="s">
        <v>795</v>
      </c>
      <c r="E176" s="6" t="s">
        <v>796</v>
      </c>
      <c r="F176" s="6" t="s">
        <v>33</v>
      </c>
      <c r="G176" s="6" t="s">
        <v>146</v>
      </c>
      <c r="H176" s="6" t="n">
        <v>1</v>
      </c>
      <c r="I176" s="6" t="n">
        <v>1</v>
      </c>
      <c r="J176" s="6" t="n">
        <v>1</v>
      </c>
      <c r="K176" s="6"/>
      <c r="L176" s="6" t="n">
        <v>1</v>
      </c>
      <c r="M176" s="6" t="n">
        <v>1</v>
      </c>
      <c r="N176" s="6" t="s">
        <v>1101</v>
      </c>
      <c r="O176" s="6" t="s">
        <v>146</v>
      </c>
    </row>
    <row r="177" customFormat="false" ht="15" hidden="false" customHeight="false" outlineLevel="0" collapsed="false">
      <c r="A177" s="6" t="n">
        <v>174</v>
      </c>
      <c r="B177" s="6" t="s">
        <v>1413</v>
      </c>
      <c r="C177" s="6" t="n">
        <v>2025</v>
      </c>
      <c r="D177" s="6" t="s">
        <v>1414</v>
      </c>
      <c r="E177" s="6" t="s">
        <v>247</v>
      </c>
      <c r="F177" s="6" t="s">
        <v>34</v>
      </c>
      <c r="G177" s="6" t="s">
        <v>146</v>
      </c>
      <c r="H177" s="6" t="n">
        <v>1</v>
      </c>
      <c r="I177" s="6" t="n">
        <v>1</v>
      </c>
      <c r="J177" s="6" t="n">
        <v>1</v>
      </c>
      <c r="K177" s="6" t="n">
        <v>1</v>
      </c>
      <c r="L177" s="6" t="n">
        <v>1</v>
      </c>
      <c r="M177" s="6" t="n">
        <v>1</v>
      </c>
      <c r="N177" s="6" t="s">
        <v>1165</v>
      </c>
      <c r="O177" s="6" t="s">
        <v>147</v>
      </c>
    </row>
    <row r="178" customFormat="false" ht="15" hidden="false" customHeight="false" outlineLevel="0" collapsed="false">
      <c r="A178" s="6" t="n">
        <v>175</v>
      </c>
      <c r="B178" s="6" t="s">
        <v>430</v>
      </c>
      <c r="C178" s="6" t="n">
        <v>2025</v>
      </c>
      <c r="D178" s="6" t="s">
        <v>433</v>
      </c>
      <c r="E178" s="6" t="s">
        <v>434</v>
      </c>
      <c r="F178" s="6" t="s">
        <v>33</v>
      </c>
      <c r="G178" s="6" t="s">
        <v>146</v>
      </c>
      <c r="H178" s="6" t="n">
        <v>1</v>
      </c>
      <c r="I178" s="6" t="n">
        <v>1</v>
      </c>
      <c r="J178" s="6"/>
      <c r="K178" s="6"/>
      <c r="L178" s="6" t="n">
        <v>1</v>
      </c>
      <c r="M178" s="6" t="n">
        <v>1</v>
      </c>
      <c r="N178" s="6" t="s">
        <v>1101</v>
      </c>
      <c r="O178" s="6" t="s">
        <v>146</v>
      </c>
    </row>
    <row r="179" customFormat="false" ht="15" hidden="false" customHeight="false" outlineLevel="0" collapsed="false">
      <c r="A179" s="6" t="n">
        <v>176</v>
      </c>
      <c r="B179" s="6" t="s">
        <v>1415</v>
      </c>
      <c r="C179" s="6" t="n">
        <v>2025</v>
      </c>
      <c r="D179" s="6" t="s">
        <v>1416</v>
      </c>
      <c r="E179" s="6" t="s">
        <v>1417</v>
      </c>
      <c r="F179" s="6" t="s">
        <v>33</v>
      </c>
      <c r="G179" s="6" t="s">
        <v>147</v>
      </c>
      <c r="H179" s="6"/>
      <c r="I179" s="6" t="n">
        <v>1</v>
      </c>
      <c r="J179" s="6"/>
      <c r="K179" s="6"/>
      <c r="L179" s="6" t="n">
        <v>1</v>
      </c>
      <c r="M179" s="6"/>
      <c r="N179" s="6" t="s">
        <v>1100</v>
      </c>
      <c r="O179" s="6" t="s">
        <v>147</v>
      </c>
    </row>
    <row r="180" customFormat="false" ht="15" hidden="false" customHeight="false" outlineLevel="0" collapsed="false">
      <c r="A180" s="6" t="n">
        <v>177</v>
      </c>
      <c r="B180" s="6" t="s">
        <v>1418</v>
      </c>
      <c r="C180" s="6" t="n">
        <v>2025</v>
      </c>
      <c r="D180" s="6" t="s">
        <v>1419</v>
      </c>
      <c r="E180" s="6" t="s">
        <v>1420</v>
      </c>
      <c r="F180" s="6" t="s">
        <v>33</v>
      </c>
      <c r="G180" s="6" t="s">
        <v>147</v>
      </c>
      <c r="H180" s="6"/>
      <c r="I180" s="6"/>
      <c r="J180" s="6"/>
      <c r="K180" s="6"/>
      <c r="L180" s="6"/>
      <c r="M180" s="6"/>
      <c r="N180" s="6" t="s">
        <v>1100</v>
      </c>
      <c r="O180" s="6" t="s">
        <v>147</v>
      </c>
    </row>
    <row r="181" customFormat="false" ht="15" hidden="false" customHeight="false" outlineLevel="0" collapsed="false">
      <c r="A181" s="6" t="n">
        <v>178</v>
      </c>
      <c r="B181" s="6" t="s">
        <v>1421</v>
      </c>
      <c r="C181" s="6" t="n">
        <v>2025</v>
      </c>
      <c r="D181" s="6" t="s">
        <v>1422</v>
      </c>
      <c r="E181" s="6" t="s">
        <v>1423</v>
      </c>
      <c r="F181" s="6" t="s">
        <v>33</v>
      </c>
      <c r="G181" s="6" t="s">
        <v>147</v>
      </c>
      <c r="H181" s="6"/>
      <c r="I181" s="6"/>
      <c r="J181" s="6"/>
      <c r="K181" s="6"/>
      <c r="L181" s="6"/>
      <c r="M181" s="6"/>
      <c r="N181" s="6" t="s">
        <v>1100</v>
      </c>
      <c r="O181" s="6" t="s">
        <v>147</v>
      </c>
    </row>
    <row r="182" customFormat="false" ht="15" hidden="false" customHeight="false" outlineLevel="0" collapsed="false">
      <c r="A182" s="6" t="n">
        <v>179</v>
      </c>
      <c r="B182" s="6" t="s">
        <v>1424</v>
      </c>
      <c r="C182" s="6" t="n">
        <v>2025</v>
      </c>
      <c r="D182" s="6" t="s">
        <v>1425</v>
      </c>
      <c r="E182" s="6" t="s">
        <v>1426</v>
      </c>
      <c r="F182" s="6" t="s">
        <v>33</v>
      </c>
      <c r="G182" s="6" t="s">
        <v>147</v>
      </c>
      <c r="H182" s="6"/>
      <c r="I182" s="6"/>
      <c r="J182" s="6"/>
      <c r="K182" s="6"/>
      <c r="L182" s="6"/>
      <c r="M182" s="6"/>
      <c r="N182" s="6" t="s">
        <v>1100</v>
      </c>
      <c r="O182" s="6" t="s">
        <v>147</v>
      </c>
    </row>
    <row r="183" customFormat="false" ht="15" hidden="false" customHeight="false" outlineLevel="0" collapsed="false">
      <c r="A183" s="6" t="n">
        <v>180</v>
      </c>
      <c r="B183" s="6" t="s">
        <v>443</v>
      </c>
      <c r="C183" s="6" t="n">
        <v>2025</v>
      </c>
      <c r="D183" s="6" t="s">
        <v>446</v>
      </c>
      <c r="E183" s="6" t="s">
        <v>447</v>
      </c>
      <c r="F183" s="6" t="s">
        <v>146</v>
      </c>
      <c r="G183" s="6" t="s">
        <v>146</v>
      </c>
      <c r="H183" s="6" t="n">
        <v>1</v>
      </c>
      <c r="I183" s="6" t="n">
        <v>1</v>
      </c>
      <c r="J183" s="6"/>
      <c r="K183" s="6"/>
      <c r="L183" s="6"/>
      <c r="M183" s="6"/>
      <c r="N183" s="6" t="s">
        <v>1100</v>
      </c>
      <c r="O183" s="6" t="s">
        <v>146</v>
      </c>
    </row>
    <row r="184" customFormat="false" ht="15" hidden="false" customHeight="false" outlineLevel="0" collapsed="false">
      <c r="A184" s="6" t="n">
        <v>181</v>
      </c>
      <c r="B184" s="6" t="s">
        <v>854</v>
      </c>
      <c r="C184" s="6" t="n">
        <v>2025</v>
      </c>
      <c r="D184" s="6" t="s">
        <v>248</v>
      </c>
      <c r="E184" s="6" t="s">
        <v>247</v>
      </c>
      <c r="F184" s="6" t="s">
        <v>33</v>
      </c>
      <c r="G184" s="6" t="s">
        <v>146</v>
      </c>
      <c r="H184" s="6" t="n">
        <v>1</v>
      </c>
      <c r="I184" s="6" t="n">
        <v>1</v>
      </c>
      <c r="J184" s="6"/>
      <c r="K184" s="6"/>
      <c r="L184" s="6" t="n">
        <v>1</v>
      </c>
      <c r="M184" s="6" t="n">
        <v>1</v>
      </c>
      <c r="N184" s="6" t="s">
        <v>1101</v>
      </c>
      <c r="O184" s="6" t="s">
        <v>146</v>
      </c>
    </row>
    <row r="185" customFormat="false" ht="15" hidden="false" customHeight="false" outlineLevel="0" collapsed="false">
      <c r="A185" s="6" t="n">
        <v>182</v>
      </c>
      <c r="B185" s="6" t="s">
        <v>1427</v>
      </c>
      <c r="C185" s="6" t="n">
        <v>2025</v>
      </c>
      <c r="D185" s="6" t="s">
        <v>1428</v>
      </c>
      <c r="E185" s="6" t="s">
        <v>1429</v>
      </c>
      <c r="F185" s="6" t="s">
        <v>33</v>
      </c>
      <c r="G185" s="6" t="s">
        <v>147</v>
      </c>
      <c r="H185" s="6"/>
      <c r="I185" s="6" t="n">
        <v>1</v>
      </c>
      <c r="J185" s="6"/>
      <c r="K185" s="6"/>
      <c r="L185" s="6" t="n">
        <v>1</v>
      </c>
      <c r="M185" s="6"/>
      <c r="N185" s="6" t="s">
        <v>1100</v>
      </c>
      <c r="O185" s="6" t="s">
        <v>147</v>
      </c>
    </row>
    <row r="186" customFormat="false" ht="15" hidden="false" customHeight="false" outlineLevel="0" collapsed="false">
      <c r="A186" s="6" t="n">
        <v>183</v>
      </c>
      <c r="B186" s="6" t="s">
        <v>1430</v>
      </c>
      <c r="C186" s="6" t="n">
        <v>2025</v>
      </c>
      <c r="D186" s="6" t="s">
        <v>1431</v>
      </c>
      <c r="E186" s="6" t="s">
        <v>344</v>
      </c>
      <c r="F186" s="6" t="s">
        <v>33</v>
      </c>
      <c r="G186" s="6" t="s">
        <v>147</v>
      </c>
      <c r="H186" s="6"/>
      <c r="I186" s="6"/>
      <c r="J186" s="6"/>
      <c r="K186" s="6"/>
      <c r="L186" s="6"/>
      <c r="M186" s="6"/>
      <c r="N186" s="6" t="s">
        <v>1100</v>
      </c>
      <c r="O186" s="6" t="s">
        <v>147</v>
      </c>
    </row>
    <row r="187" customFormat="false" ht="15" hidden="false" customHeight="false" outlineLevel="0" collapsed="false">
      <c r="A187" s="6" t="n">
        <v>184</v>
      </c>
      <c r="B187" s="6" t="s">
        <v>1432</v>
      </c>
      <c r="C187" s="6" t="n">
        <v>2025</v>
      </c>
      <c r="D187" s="6" t="s">
        <v>1433</v>
      </c>
      <c r="E187" s="6" t="s">
        <v>494</v>
      </c>
      <c r="F187" s="6" t="s">
        <v>33</v>
      </c>
      <c r="G187" s="6" t="s">
        <v>147</v>
      </c>
      <c r="H187" s="6"/>
      <c r="I187" s="6"/>
      <c r="J187" s="6"/>
      <c r="K187" s="6"/>
      <c r="L187" s="6" t="n">
        <v>1</v>
      </c>
      <c r="M187" s="6"/>
      <c r="N187" s="6" t="s">
        <v>1100</v>
      </c>
      <c r="O187" s="6" t="s">
        <v>147</v>
      </c>
    </row>
    <row r="188" customFormat="false" ht="15" hidden="false" customHeight="false" outlineLevel="0" collapsed="false">
      <c r="A188" s="6" t="n">
        <v>185</v>
      </c>
      <c r="B188" s="6" t="s">
        <v>437</v>
      </c>
      <c r="C188" s="6" t="n">
        <v>2025</v>
      </c>
      <c r="D188" s="6" t="s">
        <v>440</v>
      </c>
      <c r="E188" s="6" t="s">
        <v>367</v>
      </c>
      <c r="F188" s="6" t="s">
        <v>146</v>
      </c>
      <c r="G188" s="6" t="s">
        <v>146</v>
      </c>
      <c r="H188" s="6" t="n">
        <v>1</v>
      </c>
      <c r="I188" s="6" t="n">
        <v>1</v>
      </c>
      <c r="J188" s="6"/>
      <c r="K188" s="6" t="n">
        <v>1</v>
      </c>
      <c r="L188" s="6" t="n">
        <v>1</v>
      </c>
      <c r="M188" s="6"/>
      <c r="N188" s="6" t="s">
        <v>1100</v>
      </c>
      <c r="O188" s="6" t="s">
        <v>146</v>
      </c>
    </row>
    <row r="189" customFormat="false" ht="15" hidden="false" customHeight="false" outlineLevel="0" collapsed="false">
      <c r="A189" s="6" t="n">
        <v>186</v>
      </c>
      <c r="B189" s="6" t="s">
        <v>895</v>
      </c>
      <c r="C189" s="6" t="n">
        <v>2025</v>
      </c>
      <c r="D189" s="6" t="s">
        <v>898</v>
      </c>
      <c r="E189" s="6" t="s">
        <v>899</v>
      </c>
      <c r="F189" s="6" t="s">
        <v>33</v>
      </c>
      <c r="G189" s="6" t="s">
        <v>146</v>
      </c>
      <c r="H189" s="6" t="n">
        <v>1</v>
      </c>
      <c r="I189" s="6" t="n">
        <v>1</v>
      </c>
      <c r="J189" s="6" t="n">
        <v>1</v>
      </c>
      <c r="K189" s="6"/>
      <c r="L189" s="6" t="n">
        <v>1</v>
      </c>
      <c r="M189" s="6" t="n">
        <v>1</v>
      </c>
      <c r="N189" s="6" t="s">
        <v>1101</v>
      </c>
      <c r="O189" s="6" t="s">
        <v>146</v>
      </c>
    </row>
    <row r="190" customFormat="false" ht="15" hidden="false" customHeight="false" outlineLevel="0" collapsed="false">
      <c r="A190" s="6" t="n">
        <v>187</v>
      </c>
      <c r="B190" s="6" t="s">
        <v>1434</v>
      </c>
      <c r="C190" s="6" t="n">
        <v>2025</v>
      </c>
      <c r="D190" s="6" t="s">
        <v>1435</v>
      </c>
      <c r="E190" s="6" t="s">
        <v>1174</v>
      </c>
      <c r="F190" s="6" t="s">
        <v>33</v>
      </c>
      <c r="G190" s="6" t="s">
        <v>147</v>
      </c>
      <c r="H190" s="6"/>
      <c r="I190" s="6"/>
      <c r="J190" s="6"/>
      <c r="K190" s="6"/>
      <c r="L190" s="6" t="n">
        <v>1</v>
      </c>
      <c r="M190" s="6"/>
      <c r="N190" s="6" t="s">
        <v>1100</v>
      </c>
      <c r="O190" s="6" t="s">
        <v>147</v>
      </c>
    </row>
    <row r="191" customFormat="false" ht="15" hidden="false" customHeight="false" outlineLevel="0" collapsed="false">
      <c r="A191" s="6" t="n">
        <v>188</v>
      </c>
      <c r="B191" s="6" t="s">
        <v>1436</v>
      </c>
      <c r="C191" s="6" t="n">
        <v>2025</v>
      </c>
      <c r="D191" s="6" t="s">
        <v>1437</v>
      </c>
      <c r="E191" s="6" t="s">
        <v>1159</v>
      </c>
      <c r="F191" s="6" t="s">
        <v>33</v>
      </c>
      <c r="G191" s="6" t="s">
        <v>147</v>
      </c>
      <c r="H191" s="6"/>
      <c r="I191" s="6"/>
      <c r="J191" s="6"/>
      <c r="K191" s="6"/>
      <c r="L191" s="6" t="n">
        <v>1</v>
      </c>
      <c r="M191" s="6"/>
      <c r="N191" s="6" t="s">
        <v>1100</v>
      </c>
      <c r="O191" s="6" t="s">
        <v>147</v>
      </c>
    </row>
    <row r="192" customFormat="false" ht="15" hidden="false" customHeight="false" outlineLevel="0" collapsed="false">
      <c r="A192" s="6" t="n">
        <v>189</v>
      </c>
      <c r="B192" s="6" t="s">
        <v>1438</v>
      </c>
      <c r="C192" s="6" t="n">
        <v>2025</v>
      </c>
      <c r="D192" s="6" t="s">
        <v>1439</v>
      </c>
      <c r="E192" s="6" t="s">
        <v>1159</v>
      </c>
      <c r="F192" s="6" t="s">
        <v>33</v>
      </c>
      <c r="G192" s="6" t="s">
        <v>147</v>
      </c>
      <c r="H192" s="6"/>
      <c r="I192" s="6"/>
      <c r="J192" s="6" t="n">
        <v>1</v>
      </c>
      <c r="K192" s="6"/>
      <c r="L192" s="6" t="n">
        <v>1</v>
      </c>
      <c r="M192" s="6"/>
      <c r="N192" s="6" t="s">
        <v>1100</v>
      </c>
      <c r="O192" s="6" t="s">
        <v>147</v>
      </c>
    </row>
    <row r="193" customFormat="false" ht="15" hidden="false" customHeight="false" outlineLevel="0" collapsed="false">
      <c r="A193" s="6" t="n">
        <v>190</v>
      </c>
      <c r="B193" s="6" t="s">
        <v>1440</v>
      </c>
      <c r="C193" s="6" t="n">
        <v>2025</v>
      </c>
      <c r="D193" s="6" t="s">
        <v>1441</v>
      </c>
      <c r="E193" s="6" t="s">
        <v>1420</v>
      </c>
      <c r="F193" s="6" t="s">
        <v>33</v>
      </c>
      <c r="G193" s="6" t="s">
        <v>147</v>
      </c>
      <c r="H193" s="6"/>
      <c r="I193" s="6"/>
      <c r="J193" s="6"/>
      <c r="K193" s="6"/>
      <c r="L193" s="6" t="n">
        <v>1</v>
      </c>
      <c r="M193" s="6"/>
      <c r="N193" s="6" t="s">
        <v>1100</v>
      </c>
      <c r="O193" s="6" t="s">
        <v>147</v>
      </c>
    </row>
    <row r="194" customFormat="false" ht="15" hidden="false" customHeight="false" outlineLevel="0" collapsed="false">
      <c r="A194" s="6" t="n">
        <v>191</v>
      </c>
      <c r="B194" s="6" t="s">
        <v>1442</v>
      </c>
      <c r="C194" s="6" t="n">
        <v>2025</v>
      </c>
      <c r="D194" s="6" t="s">
        <v>1443</v>
      </c>
      <c r="E194" s="6" t="s">
        <v>1444</v>
      </c>
      <c r="F194" s="6" t="s">
        <v>33</v>
      </c>
      <c r="G194" s="6" t="s">
        <v>147</v>
      </c>
      <c r="H194" s="6"/>
      <c r="I194" s="6"/>
      <c r="J194" s="6"/>
      <c r="K194" s="6"/>
      <c r="L194" s="6"/>
      <c r="M194" s="6"/>
      <c r="N194" s="6" t="s">
        <v>1100</v>
      </c>
      <c r="O194" s="6" t="s">
        <v>147</v>
      </c>
    </row>
    <row r="195" customFormat="false" ht="15" hidden="false" customHeight="false" outlineLevel="0" collapsed="false">
      <c r="A195" s="6" t="n">
        <v>192</v>
      </c>
      <c r="B195" s="6" t="s">
        <v>1445</v>
      </c>
      <c r="C195" s="6" t="n">
        <v>2025</v>
      </c>
      <c r="D195" s="6" t="s">
        <v>1446</v>
      </c>
      <c r="E195" s="6" t="s">
        <v>1447</v>
      </c>
      <c r="F195" s="6" t="s">
        <v>33</v>
      </c>
      <c r="G195" s="6" t="s">
        <v>147</v>
      </c>
      <c r="H195" s="6"/>
      <c r="I195" s="6"/>
      <c r="J195" s="6"/>
      <c r="K195" s="6"/>
      <c r="L195" s="6" t="n">
        <v>1</v>
      </c>
      <c r="M195" s="6"/>
      <c r="N195" s="6" t="s">
        <v>1100</v>
      </c>
      <c r="O195" s="6" t="s">
        <v>147</v>
      </c>
    </row>
    <row r="196" customFormat="false" ht="15" hidden="false" customHeight="false" outlineLevel="0" collapsed="false">
      <c r="A196" s="6" t="n">
        <v>193</v>
      </c>
      <c r="B196" s="6" t="s">
        <v>1448</v>
      </c>
      <c r="C196" s="6" t="n">
        <v>2025</v>
      </c>
      <c r="D196" s="6" t="s">
        <v>1449</v>
      </c>
      <c r="E196" s="6" t="s">
        <v>1124</v>
      </c>
      <c r="F196" s="6" t="s">
        <v>33</v>
      </c>
      <c r="G196" s="6" t="s">
        <v>147</v>
      </c>
      <c r="H196" s="6"/>
      <c r="I196" s="6"/>
      <c r="J196" s="6"/>
      <c r="K196" s="6"/>
      <c r="L196" s="6"/>
      <c r="M196" s="6"/>
      <c r="N196" s="6" t="s">
        <v>1100</v>
      </c>
      <c r="O196" s="6" t="s">
        <v>147</v>
      </c>
    </row>
    <row r="197" customFormat="false" ht="15" hidden="false" customHeight="false" outlineLevel="0" collapsed="false">
      <c r="A197" s="6" t="n">
        <v>194</v>
      </c>
      <c r="B197" s="6" t="s">
        <v>1450</v>
      </c>
      <c r="C197" s="6" t="n">
        <v>2025</v>
      </c>
      <c r="D197" s="6" t="s">
        <v>1451</v>
      </c>
      <c r="E197" s="6" t="s">
        <v>1452</v>
      </c>
      <c r="F197" s="6" t="s">
        <v>33</v>
      </c>
      <c r="G197" s="6" t="s">
        <v>147</v>
      </c>
      <c r="H197" s="6"/>
      <c r="I197" s="6"/>
      <c r="J197" s="6"/>
      <c r="K197" s="6"/>
      <c r="L197" s="6" t="n">
        <v>1</v>
      </c>
      <c r="M197" s="6"/>
      <c r="N197" s="6" t="s">
        <v>1100</v>
      </c>
      <c r="O197" s="6" t="s">
        <v>147</v>
      </c>
    </row>
    <row r="198" customFormat="false" ht="15" hidden="false" customHeight="false" outlineLevel="0" collapsed="false">
      <c r="A198" s="6" t="n">
        <v>195</v>
      </c>
      <c r="B198" s="6" t="s">
        <v>1453</v>
      </c>
      <c r="C198" s="6" t="n">
        <v>2025</v>
      </c>
      <c r="D198" s="6" t="s">
        <v>1454</v>
      </c>
      <c r="E198" s="6" t="s">
        <v>1455</v>
      </c>
      <c r="F198" s="6" t="s">
        <v>33</v>
      </c>
      <c r="G198" s="6" t="s">
        <v>147</v>
      </c>
      <c r="H198" s="6"/>
      <c r="I198" s="6"/>
      <c r="J198" s="6" t="n">
        <v>1</v>
      </c>
      <c r="K198" s="6"/>
      <c r="L198" s="6" t="n">
        <v>1</v>
      </c>
      <c r="M198" s="6"/>
      <c r="N198" s="6" t="s">
        <v>1100</v>
      </c>
      <c r="O198" s="6" t="s">
        <v>147</v>
      </c>
    </row>
    <row r="199" customFormat="false" ht="15" hidden="false" customHeight="false" outlineLevel="0" collapsed="false">
      <c r="A199" s="6" t="n">
        <v>196</v>
      </c>
      <c r="B199" s="6" t="s">
        <v>417</v>
      </c>
      <c r="C199" s="6" t="n">
        <v>2025</v>
      </c>
      <c r="D199" s="6" t="s">
        <v>420</v>
      </c>
      <c r="E199" s="6" t="s">
        <v>421</v>
      </c>
      <c r="F199" s="6" t="s">
        <v>33</v>
      </c>
      <c r="G199" s="6" t="s">
        <v>146</v>
      </c>
      <c r="H199" s="6"/>
      <c r="I199" s="6" t="n">
        <v>1</v>
      </c>
      <c r="J199" s="6" t="n">
        <v>1</v>
      </c>
      <c r="K199" s="6"/>
      <c r="L199" s="6" t="n">
        <v>1</v>
      </c>
      <c r="M199" s="6" t="n">
        <v>1</v>
      </c>
      <c r="N199" s="6" t="s">
        <v>1101</v>
      </c>
      <c r="O199" s="6" t="s">
        <v>146</v>
      </c>
    </row>
    <row r="200" customFormat="false" ht="15" hidden="false" customHeight="false" outlineLevel="0" collapsed="false">
      <c r="A200" s="6" t="n">
        <v>197</v>
      </c>
      <c r="B200" s="6" t="s">
        <v>1456</v>
      </c>
      <c r="C200" s="6" t="n">
        <v>2025</v>
      </c>
      <c r="D200" s="6" t="s">
        <v>1457</v>
      </c>
      <c r="E200" s="6" t="s">
        <v>1221</v>
      </c>
      <c r="F200" s="6" t="s">
        <v>33</v>
      </c>
      <c r="G200" s="6" t="s">
        <v>147</v>
      </c>
      <c r="H200" s="6"/>
      <c r="I200" s="6" t="n">
        <v>1</v>
      </c>
      <c r="J200" s="6"/>
      <c r="K200" s="6"/>
      <c r="L200" s="6" t="n">
        <v>1</v>
      </c>
      <c r="M200" s="6"/>
      <c r="N200" s="6" t="s">
        <v>1100</v>
      </c>
      <c r="O200" s="6" t="s">
        <v>147</v>
      </c>
    </row>
    <row r="201" customFormat="false" ht="15" hidden="false" customHeight="false" outlineLevel="0" collapsed="false">
      <c r="A201" s="6" t="n">
        <v>198</v>
      </c>
      <c r="B201" s="6" t="s">
        <v>1458</v>
      </c>
      <c r="C201" s="6" t="n">
        <v>2025</v>
      </c>
      <c r="D201" s="6" t="s">
        <v>1459</v>
      </c>
      <c r="E201" s="6" t="s">
        <v>1460</v>
      </c>
      <c r="F201" s="6" t="s">
        <v>146</v>
      </c>
      <c r="G201" s="6" t="s">
        <v>147</v>
      </c>
      <c r="H201" s="6"/>
      <c r="I201" s="6"/>
      <c r="J201" s="6" t="n">
        <v>1</v>
      </c>
      <c r="K201" s="6"/>
      <c r="L201" s="6" t="n">
        <v>1</v>
      </c>
      <c r="M201" s="6" t="n">
        <v>1</v>
      </c>
      <c r="N201" s="6" t="s">
        <v>1183</v>
      </c>
      <c r="O201" s="6" t="s">
        <v>147</v>
      </c>
    </row>
    <row r="202" customFormat="false" ht="15" hidden="false" customHeight="false" outlineLevel="0" collapsed="false">
      <c r="A202" s="6" t="n">
        <v>199</v>
      </c>
      <c r="B202" s="6" t="s">
        <v>1019</v>
      </c>
      <c r="C202" s="6" t="n">
        <v>2025</v>
      </c>
      <c r="D202" s="6" t="s">
        <v>1022</v>
      </c>
      <c r="E202" s="6" t="s">
        <v>1023</v>
      </c>
      <c r="F202" s="6" t="s">
        <v>33</v>
      </c>
      <c r="G202" s="6" t="s">
        <v>146</v>
      </c>
      <c r="H202" s="6"/>
      <c r="I202" s="6" t="n">
        <v>1</v>
      </c>
      <c r="J202" s="6" t="n">
        <v>1</v>
      </c>
      <c r="K202" s="6"/>
      <c r="L202" s="6" t="n">
        <v>1</v>
      </c>
      <c r="M202" s="6" t="n">
        <v>1</v>
      </c>
      <c r="N202" s="6" t="s">
        <v>1101</v>
      </c>
      <c r="O202" s="6" t="s">
        <v>146</v>
      </c>
    </row>
    <row r="203" customFormat="false" ht="15" hidden="false" customHeight="false" outlineLevel="0" collapsed="false">
      <c r="A203" s="6" t="n">
        <v>200</v>
      </c>
      <c r="B203" s="6" t="s">
        <v>1461</v>
      </c>
      <c r="C203" s="6" t="n">
        <v>2025</v>
      </c>
      <c r="D203" s="6" t="s">
        <v>1462</v>
      </c>
      <c r="E203" s="6" t="s">
        <v>1463</v>
      </c>
      <c r="F203" s="6" t="s">
        <v>33</v>
      </c>
      <c r="G203" s="6" t="s">
        <v>147</v>
      </c>
      <c r="H203" s="6"/>
      <c r="I203" s="6"/>
      <c r="J203" s="6"/>
      <c r="K203" s="6"/>
      <c r="L203" s="6"/>
      <c r="M203" s="6"/>
      <c r="N203" s="6" t="s">
        <v>1100</v>
      </c>
      <c r="O203" s="6" t="s">
        <v>147</v>
      </c>
    </row>
    <row r="204" customFormat="false" ht="15" hidden="false" customHeight="false" outlineLevel="0" collapsed="false">
      <c r="A204" s="6" t="n">
        <v>201</v>
      </c>
      <c r="B204" s="6" t="s">
        <v>1464</v>
      </c>
      <c r="C204" s="6" t="n">
        <v>2025</v>
      </c>
      <c r="D204" s="6" t="s">
        <v>1465</v>
      </c>
      <c r="E204" s="6" t="s">
        <v>1466</v>
      </c>
      <c r="F204" s="6" t="s">
        <v>33</v>
      </c>
      <c r="G204" s="6" t="s">
        <v>147</v>
      </c>
      <c r="H204" s="6"/>
      <c r="I204" s="6"/>
      <c r="J204" s="6"/>
      <c r="K204" s="6"/>
      <c r="L204" s="6" t="n">
        <v>1</v>
      </c>
      <c r="M204" s="6"/>
      <c r="N204" s="6" t="s">
        <v>1100</v>
      </c>
      <c r="O204" s="6" t="s">
        <v>147</v>
      </c>
    </row>
    <row r="205" customFormat="false" ht="15" hidden="false" customHeight="false" outlineLevel="0" collapsed="false">
      <c r="A205" s="6" t="n">
        <v>202</v>
      </c>
      <c r="B205" s="6" t="s">
        <v>1467</v>
      </c>
      <c r="C205" s="6" t="n">
        <v>2025</v>
      </c>
      <c r="D205" s="6" t="s">
        <v>1468</v>
      </c>
      <c r="E205" s="6" t="s">
        <v>1469</v>
      </c>
      <c r="F205" s="6" t="s">
        <v>33</v>
      </c>
      <c r="G205" s="6" t="s">
        <v>147</v>
      </c>
      <c r="H205" s="6"/>
      <c r="I205" s="6"/>
      <c r="J205" s="6"/>
      <c r="K205" s="6"/>
      <c r="L205" s="6" t="n">
        <v>1</v>
      </c>
      <c r="M205" s="6"/>
      <c r="N205" s="6" t="s">
        <v>1100</v>
      </c>
      <c r="O205" s="6" t="s">
        <v>147</v>
      </c>
    </row>
    <row r="206" customFormat="false" ht="15" hidden="false" customHeight="false" outlineLevel="0" collapsed="false">
      <c r="A206" s="6" t="n">
        <v>203</v>
      </c>
      <c r="B206" s="6" t="s">
        <v>1470</v>
      </c>
      <c r="C206" s="6" t="n">
        <v>2025</v>
      </c>
      <c r="D206" s="6" t="s">
        <v>1471</v>
      </c>
      <c r="E206" s="6" t="s">
        <v>1472</v>
      </c>
      <c r="F206" s="6" t="s">
        <v>33</v>
      </c>
      <c r="G206" s="6" t="s">
        <v>147</v>
      </c>
      <c r="H206" s="6"/>
      <c r="I206" s="6"/>
      <c r="J206" s="6"/>
      <c r="K206" s="6"/>
      <c r="L206" s="6" t="n">
        <v>1</v>
      </c>
      <c r="M206" s="6"/>
      <c r="N206" s="6" t="s">
        <v>1100</v>
      </c>
      <c r="O206" s="6" t="s">
        <v>147</v>
      </c>
    </row>
    <row r="207" customFormat="false" ht="15" hidden="false" customHeight="false" outlineLevel="0" collapsed="false">
      <c r="A207" s="6" t="n">
        <v>204</v>
      </c>
      <c r="B207" s="6" t="s">
        <v>1473</v>
      </c>
      <c r="C207" s="6" t="n">
        <v>2025</v>
      </c>
      <c r="D207" s="6" t="s">
        <v>1474</v>
      </c>
      <c r="E207" s="6" t="s">
        <v>1475</v>
      </c>
      <c r="F207" s="6" t="s">
        <v>146</v>
      </c>
      <c r="G207" s="6" t="s">
        <v>147</v>
      </c>
      <c r="H207" s="6"/>
      <c r="I207" s="6"/>
      <c r="J207" s="6"/>
      <c r="K207" s="6"/>
      <c r="L207" s="6"/>
      <c r="M207" s="6" t="n">
        <v>1</v>
      </c>
      <c r="N207" s="6" t="s">
        <v>1183</v>
      </c>
      <c r="O207" s="6" t="s">
        <v>147</v>
      </c>
    </row>
    <row r="208" customFormat="false" ht="15" hidden="false" customHeight="false" outlineLevel="0" collapsed="false">
      <c r="A208" s="6" t="n">
        <v>205</v>
      </c>
      <c r="B208" s="6" t="s">
        <v>1476</v>
      </c>
      <c r="C208" s="6" t="n">
        <v>2025</v>
      </c>
      <c r="D208" s="6" t="s">
        <v>1477</v>
      </c>
      <c r="E208" s="6" t="s">
        <v>1478</v>
      </c>
      <c r="F208" s="6" t="s">
        <v>33</v>
      </c>
      <c r="G208" s="6" t="s">
        <v>147</v>
      </c>
      <c r="H208" s="6"/>
      <c r="I208" s="6"/>
      <c r="J208" s="6"/>
      <c r="K208" s="6"/>
      <c r="L208" s="6" t="n">
        <v>1</v>
      </c>
      <c r="M208" s="6"/>
      <c r="N208" s="6" t="s">
        <v>1100</v>
      </c>
      <c r="O208" s="6" t="s">
        <v>147</v>
      </c>
    </row>
    <row r="209" customFormat="false" ht="15" hidden="false" customHeight="false" outlineLevel="0" collapsed="false">
      <c r="A209" s="6" t="n">
        <v>206</v>
      </c>
      <c r="B209" s="6" t="s">
        <v>1479</v>
      </c>
      <c r="C209" s="6" t="n">
        <v>2025</v>
      </c>
      <c r="D209" s="6" t="s">
        <v>1480</v>
      </c>
      <c r="E209" s="6" t="s">
        <v>1481</v>
      </c>
      <c r="F209" s="6" t="s">
        <v>33</v>
      </c>
      <c r="G209" s="6" t="s">
        <v>147</v>
      </c>
      <c r="H209" s="6"/>
      <c r="I209" s="6"/>
      <c r="J209" s="6" t="n">
        <v>1</v>
      </c>
      <c r="K209" s="6"/>
      <c r="L209" s="6" t="n">
        <v>1</v>
      </c>
      <c r="M209" s="6"/>
      <c r="N209" s="6" t="s">
        <v>1100</v>
      </c>
      <c r="O209" s="6" t="s">
        <v>147</v>
      </c>
    </row>
    <row r="210" customFormat="false" ht="15" hidden="false" customHeight="false" outlineLevel="0" collapsed="false">
      <c r="A210" s="6" t="n">
        <v>207</v>
      </c>
      <c r="B210" s="6" t="s">
        <v>1482</v>
      </c>
      <c r="C210" s="6" t="n">
        <v>2025</v>
      </c>
      <c r="D210" s="6" t="s">
        <v>1483</v>
      </c>
      <c r="E210" s="6" t="s">
        <v>1484</v>
      </c>
      <c r="F210" s="6" t="s">
        <v>33</v>
      </c>
      <c r="G210" s="6" t="s">
        <v>146</v>
      </c>
      <c r="H210" s="6"/>
      <c r="I210" s="6" t="n">
        <v>1</v>
      </c>
      <c r="J210" s="6" t="n">
        <v>1</v>
      </c>
      <c r="K210" s="6"/>
      <c r="L210" s="6"/>
      <c r="M210" s="6" t="n">
        <v>1</v>
      </c>
      <c r="N210" s="6" t="s">
        <v>1183</v>
      </c>
      <c r="O210" s="6" t="s">
        <v>147</v>
      </c>
    </row>
    <row r="211" customFormat="false" ht="15" hidden="false" customHeight="false" outlineLevel="0" collapsed="false">
      <c r="A211" s="6" t="n">
        <v>208</v>
      </c>
      <c r="B211" s="6" t="s">
        <v>1485</v>
      </c>
      <c r="C211" s="6" t="n">
        <v>2025</v>
      </c>
      <c r="D211" s="6" t="s">
        <v>1486</v>
      </c>
      <c r="E211" s="6" t="s">
        <v>1040</v>
      </c>
      <c r="F211" s="6" t="s">
        <v>33</v>
      </c>
      <c r="G211" s="6" t="s">
        <v>146</v>
      </c>
      <c r="H211" s="6"/>
      <c r="I211" s="6" t="n">
        <v>1</v>
      </c>
      <c r="J211" s="6" t="n">
        <v>1</v>
      </c>
      <c r="K211" s="6"/>
      <c r="L211" s="6"/>
      <c r="M211" s="6" t="n">
        <v>1</v>
      </c>
      <c r="N211" s="6" t="s">
        <v>1183</v>
      </c>
      <c r="O211" s="6" t="s">
        <v>147</v>
      </c>
    </row>
    <row r="212" customFormat="false" ht="15" hidden="false" customHeight="false" outlineLevel="0" collapsed="false">
      <c r="A212" s="6" t="n">
        <v>209</v>
      </c>
      <c r="B212" s="6" t="s">
        <v>1487</v>
      </c>
      <c r="C212" s="6" t="n">
        <v>2025</v>
      </c>
      <c r="D212" s="6" t="s">
        <v>1488</v>
      </c>
      <c r="E212" s="6" t="s">
        <v>1478</v>
      </c>
      <c r="F212" s="6" t="s">
        <v>146</v>
      </c>
      <c r="G212" s="6" t="s">
        <v>147</v>
      </c>
      <c r="H212" s="6"/>
      <c r="I212" s="6"/>
      <c r="J212" s="6" t="n">
        <v>1</v>
      </c>
      <c r="K212" s="6"/>
      <c r="L212" s="6" t="n">
        <v>1</v>
      </c>
      <c r="M212" s="6" t="n">
        <v>1</v>
      </c>
      <c r="N212" s="6" t="s">
        <v>1183</v>
      </c>
      <c r="O212" s="6" t="s">
        <v>147</v>
      </c>
    </row>
    <row r="213" customFormat="false" ht="15" hidden="false" customHeight="false" outlineLevel="0" collapsed="false">
      <c r="A213" s="6" t="n">
        <v>210</v>
      </c>
      <c r="B213" s="6" t="s">
        <v>486</v>
      </c>
      <c r="C213" s="6" t="n">
        <v>2025</v>
      </c>
      <c r="D213" s="6" t="s">
        <v>232</v>
      </c>
      <c r="E213" s="6" t="s">
        <v>231</v>
      </c>
      <c r="F213" s="6" t="s">
        <v>146</v>
      </c>
      <c r="G213" s="6" t="s">
        <v>146</v>
      </c>
      <c r="H213" s="6" t="n">
        <v>1</v>
      </c>
      <c r="I213" s="6" t="n">
        <v>1</v>
      </c>
      <c r="J213" s="6" t="n">
        <v>1</v>
      </c>
      <c r="K213" s="6" t="n">
        <v>1</v>
      </c>
      <c r="L213" s="6" t="n">
        <v>1</v>
      </c>
      <c r="M213" s="6"/>
      <c r="N213" s="6" t="s">
        <v>1100</v>
      </c>
      <c r="O213" s="6" t="s">
        <v>146</v>
      </c>
    </row>
    <row r="214" customFormat="false" ht="15" hidden="false" customHeight="false" outlineLevel="0" collapsed="false">
      <c r="A214" s="6" t="n">
        <v>211</v>
      </c>
      <c r="B214" s="6" t="s">
        <v>976</v>
      </c>
      <c r="C214" s="6" t="n">
        <v>2025</v>
      </c>
      <c r="D214" s="6" t="s">
        <v>979</v>
      </c>
      <c r="E214" s="6" t="s">
        <v>980</v>
      </c>
      <c r="F214" s="6" t="s">
        <v>146</v>
      </c>
      <c r="G214" s="6" t="s">
        <v>147</v>
      </c>
      <c r="H214" s="6"/>
      <c r="I214" s="6"/>
      <c r="J214" s="6"/>
      <c r="K214" s="6" t="n">
        <v>1</v>
      </c>
      <c r="L214" s="6" t="n">
        <v>1</v>
      </c>
      <c r="M214" s="6" t="n">
        <v>1</v>
      </c>
      <c r="N214" s="6" t="s">
        <v>1187</v>
      </c>
      <c r="O214" s="6" t="s">
        <v>146</v>
      </c>
    </row>
    <row r="215" customFormat="false" ht="15" hidden="false" customHeight="false" outlineLevel="0" collapsed="false">
      <c r="A215" s="6" t="n">
        <v>212</v>
      </c>
      <c r="B215" s="6" t="s">
        <v>1489</v>
      </c>
      <c r="C215" s="6" t="n">
        <v>2025</v>
      </c>
      <c r="D215" s="6" t="s">
        <v>1490</v>
      </c>
      <c r="E215" s="6" t="s">
        <v>1491</v>
      </c>
      <c r="F215" s="6" t="s">
        <v>33</v>
      </c>
      <c r="G215" s="6" t="s">
        <v>147</v>
      </c>
      <c r="H215" s="6"/>
      <c r="I215" s="6"/>
      <c r="J215" s="6"/>
      <c r="K215" s="6"/>
      <c r="L215" s="6" t="n">
        <v>1</v>
      </c>
      <c r="M215" s="6"/>
      <c r="N215" s="6" t="s">
        <v>1100</v>
      </c>
      <c r="O215" s="6" t="s">
        <v>147</v>
      </c>
    </row>
    <row r="216" customFormat="false" ht="15" hidden="false" customHeight="false" outlineLevel="0" collapsed="false">
      <c r="A216" s="6" t="n">
        <v>213</v>
      </c>
      <c r="B216" s="6" t="s">
        <v>1492</v>
      </c>
      <c r="C216" s="6" t="n">
        <v>2025</v>
      </c>
      <c r="D216" s="6" t="s">
        <v>1493</v>
      </c>
      <c r="E216" s="6" t="s">
        <v>1174</v>
      </c>
      <c r="F216" s="6" t="s">
        <v>33</v>
      </c>
      <c r="G216" s="6" t="s">
        <v>147</v>
      </c>
      <c r="H216" s="6"/>
      <c r="I216" s="6"/>
      <c r="J216" s="6"/>
      <c r="K216" s="6"/>
      <c r="L216" s="6" t="n">
        <v>1</v>
      </c>
      <c r="M216" s="6"/>
      <c r="N216" s="6" t="s">
        <v>1100</v>
      </c>
      <c r="O216" s="6" t="s">
        <v>147</v>
      </c>
    </row>
    <row r="217" customFormat="false" ht="15" hidden="false" customHeight="false" outlineLevel="0" collapsed="false">
      <c r="A217" s="6" t="n">
        <v>214</v>
      </c>
      <c r="B217" s="6" t="s">
        <v>1494</v>
      </c>
      <c r="C217" s="6" t="n">
        <v>2025</v>
      </c>
      <c r="D217" s="6" t="s">
        <v>1495</v>
      </c>
      <c r="E217" s="6" t="s">
        <v>1496</v>
      </c>
      <c r="F217" s="6" t="s">
        <v>33</v>
      </c>
      <c r="G217" s="6" t="s">
        <v>147</v>
      </c>
      <c r="H217" s="6"/>
      <c r="I217" s="6"/>
      <c r="J217" s="6"/>
      <c r="K217" s="6"/>
      <c r="L217" s="6" t="n">
        <v>1</v>
      </c>
      <c r="M217" s="6"/>
      <c r="N217" s="6" t="s">
        <v>1100</v>
      </c>
      <c r="O217" s="6" t="s">
        <v>147</v>
      </c>
    </row>
    <row r="218" customFormat="false" ht="15" hidden="false" customHeight="false" outlineLevel="0" collapsed="false">
      <c r="A218" s="6" t="n">
        <v>215</v>
      </c>
      <c r="B218" s="6" t="s">
        <v>1497</v>
      </c>
      <c r="C218" s="6" t="n">
        <v>2025</v>
      </c>
      <c r="D218" s="6" t="s">
        <v>1498</v>
      </c>
      <c r="E218" s="6" t="s">
        <v>1499</v>
      </c>
      <c r="F218" s="6" t="s">
        <v>33</v>
      </c>
      <c r="G218" s="6" t="s">
        <v>147</v>
      </c>
      <c r="H218" s="6"/>
      <c r="I218" s="6" t="n">
        <v>1</v>
      </c>
      <c r="J218" s="6"/>
      <c r="K218" s="6"/>
      <c r="L218" s="6" t="n">
        <v>1</v>
      </c>
      <c r="M218" s="6"/>
      <c r="N218" s="6" t="s">
        <v>1100</v>
      </c>
      <c r="O218" s="6" t="s">
        <v>147</v>
      </c>
    </row>
    <row r="219" customFormat="false" ht="15" hidden="false" customHeight="false" outlineLevel="0" collapsed="false">
      <c r="A219" s="6" t="n">
        <v>216</v>
      </c>
      <c r="B219" s="6" t="s">
        <v>1500</v>
      </c>
      <c r="C219" s="6" t="n">
        <v>2025</v>
      </c>
      <c r="D219" s="6" t="s">
        <v>1501</v>
      </c>
      <c r="E219" s="6" t="s">
        <v>1481</v>
      </c>
      <c r="F219" s="6" t="s">
        <v>33</v>
      </c>
      <c r="G219" s="6" t="s">
        <v>147</v>
      </c>
      <c r="H219" s="6"/>
      <c r="I219" s="6"/>
      <c r="J219" s="6" t="n">
        <v>1</v>
      </c>
      <c r="K219" s="6"/>
      <c r="L219" s="6" t="n">
        <v>1</v>
      </c>
      <c r="M219" s="6"/>
      <c r="N219" s="6" t="s">
        <v>1100</v>
      </c>
      <c r="O219" s="6" t="s">
        <v>147</v>
      </c>
    </row>
    <row r="220" customFormat="false" ht="15" hidden="false" customHeight="false" outlineLevel="0" collapsed="false">
      <c r="A220" s="6" t="n">
        <v>217</v>
      </c>
      <c r="B220" s="6" t="s">
        <v>880</v>
      </c>
      <c r="C220" s="6" t="n">
        <v>2025</v>
      </c>
      <c r="D220" s="6" t="s">
        <v>882</v>
      </c>
      <c r="E220" s="6" t="s">
        <v>883</v>
      </c>
      <c r="F220" s="6" t="s">
        <v>146</v>
      </c>
      <c r="G220" s="6" t="s">
        <v>146</v>
      </c>
      <c r="H220" s="6"/>
      <c r="I220" s="6" t="n">
        <v>1</v>
      </c>
      <c r="J220" s="6" t="n">
        <v>1</v>
      </c>
      <c r="K220" s="6" t="n">
        <v>1</v>
      </c>
      <c r="L220" s="6" t="n">
        <v>1</v>
      </c>
      <c r="M220" s="6"/>
      <c r="N220" s="6" t="s">
        <v>1100</v>
      </c>
      <c r="O220" s="6" t="s">
        <v>146</v>
      </c>
    </row>
    <row r="221" customFormat="false" ht="15" hidden="false" customHeight="false" outlineLevel="0" collapsed="false">
      <c r="A221" s="6" t="n">
        <v>218</v>
      </c>
      <c r="B221" s="6" t="s">
        <v>1074</v>
      </c>
      <c r="C221" s="6" t="n">
        <v>2025</v>
      </c>
      <c r="D221" s="6" t="s">
        <v>1077</v>
      </c>
      <c r="E221" s="6" t="s">
        <v>716</v>
      </c>
      <c r="F221" s="6" t="s">
        <v>146</v>
      </c>
      <c r="G221" s="6" t="s">
        <v>146</v>
      </c>
      <c r="H221" s="6" t="n">
        <v>1</v>
      </c>
      <c r="I221" s="6" t="n">
        <v>1</v>
      </c>
      <c r="J221" s="6" t="n">
        <v>1</v>
      </c>
      <c r="K221" s="6" t="n">
        <v>1</v>
      </c>
      <c r="L221" s="6" t="n">
        <v>1</v>
      </c>
      <c r="M221" s="6"/>
      <c r="N221" s="6" t="s">
        <v>1100</v>
      </c>
      <c r="O221" s="6" t="s">
        <v>146</v>
      </c>
    </row>
    <row r="222" customFormat="false" ht="15" hidden="false" customHeight="false" outlineLevel="0" collapsed="false">
      <c r="A222" s="6" t="n">
        <v>219</v>
      </c>
      <c r="B222" s="6" t="s">
        <v>1502</v>
      </c>
      <c r="C222" s="6" t="n">
        <v>2025</v>
      </c>
      <c r="D222" s="6" t="s">
        <v>1503</v>
      </c>
      <c r="E222" s="6" t="s">
        <v>1350</v>
      </c>
      <c r="F222" s="6" t="s">
        <v>34</v>
      </c>
      <c r="G222" s="6" t="s">
        <v>146</v>
      </c>
      <c r="H222" s="6" t="n">
        <v>1</v>
      </c>
      <c r="I222" s="6" t="n">
        <v>1</v>
      </c>
      <c r="J222" s="6"/>
      <c r="K222" s="6"/>
      <c r="L222" s="6" t="n">
        <v>1</v>
      </c>
      <c r="M222" s="6" t="n">
        <v>1</v>
      </c>
      <c r="N222" s="6" t="s">
        <v>1165</v>
      </c>
      <c r="O222" s="6" t="s">
        <v>147</v>
      </c>
    </row>
    <row r="223" customFormat="false" ht="15" hidden="false" customHeight="false" outlineLevel="0" collapsed="false">
      <c r="A223" s="6" t="n">
        <v>220</v>
      </c>
      <c r="B223" s="6" t="s">
        <v>576</v>
      </c>
      <c r="C223" s="6" t="n">
        <v>2025</v>
      </c>
      <c r="D223" s="6" t="s">
        <v>579</v>
      </c>
      <c r="E223" s="6" t="s">
        <v>580</v>
      </c>
      <c r="F223" s="6" t="s">
        <v>33</v>
      </c>
      <c r="G223" s="6" t="s">
        <v>146</v>
      </c>
      <c r="H223" s="6" t="n">
        <v>1</v>
      </c>
      <c r="I223" s="6" t="n">
        <v>1</v>
      </c>
      <c r="J223" s="6" t="n">
        <v>1</v>
      </c>
      <c r="K223" s="6"/>
      <c r="L223" s="6" t="n">
        <v>1</v>
      </c>
      <c r="M223" s="6" t="n">
        <v>1</v>
      </c>
      <c r="N223" s="6" t="s">
        <v>1101</v>
      </c>
      <c r="O223" s="6" t="s">
        <v>146</v>
      </c>
    </row>
    <row r="224" customFormat="false" ht="15" hidden="false" customHeight="false" outlineLevel="0" collapsed="false">
      <c r="A224" s="6" t="n">
        <v>221</v>
      </c>
      <c r="B224" s="6" t="s">
        <v>763</v>
      </c>
      <c r="C224" s="6" t="n">
        <v>2025</v>
      </c>
      <c r="D224" s="6" t="s">
        <v>766</v>
      </c>
      <c r="E224" s="6" t="s">
        <v>767</v>
      </c>
      <c r="F224" s="6" t="s">
        <v>146</v>
      </c>
      <c r="G224" s="6" t="s">
        <v>146</v>
      </c>
      <c r="H224" s="6" t="n">
        <v>1</v>
      </c>
      <c r="I224" s="6" t="n">
        <v>1</v>
      </c>
      <c r="J224" s="6" t="n">
        <v>1</v>
      </c>
      <c r="K224" s="6" t="n">
        <v>1</v>
      </c>
      <c r="L224" s="6" t="n">
        <v>1</v>
      </c>
      <c r="M224" s="6"/>
      <c r="N224" s="6" t="s">
        <v>1100</v>
      </c>
      <c r="O224" s="6" t="s">
        <v>146</v>
      </c>
    </row>
    <row r="225" customFormat="false" ht="15" hidden="false" customHeight="false" outlineLevel="0" collapsed="false">
      <c r="A225" s="6" t="n">
        <v>222</v>
      </c>
      <c r="B225" s="6" t="s">
        <v>1504</v>
      </c>
      <c r="C225" s="6" t="n">
        <v>2025</v>
      </c>
      <c r="D225" s="6" t="s">
        <v>1505</v>
      </c>
      <c r="E225" s="6" t="s">
        <v>1506</v>
      </c>
      <c r="F225" s="6" t="s">
        <v>33</v>
      </c>
      <c r="G225" s="6" t="s">
        <v>147</v>
      </c>
      <c r="H225" s="6"/>
      <c r="I225" s="6"/>
      <c r="J225" s="6" t="n">
        <v>1</v>
      </c>
      <c r="K225" s="6"/>
      <c r="L225" s="6"/>
      <c r="M225" s="6"/>
      <c r="N225" s="6" t="s">
        <v>1100</v>
      </c>
      <c r="O225" s="6" t="s">
        <v>147</v>
      </c>
    </row>
    <row r="226" customFormat="false" ht="15" hidden="false" customHeight="false" outlineLevel="0" collapsed="false">
      <c r="A226" s="6" t="n">
        <v>223</v>
      </c>
      <c r="B226" s="6" t="s">
        <v>1507</v>
      </c>
      <c r="C226" s="6" t="n">
        <v>2025</v>
      </c>
      <c r="D226" s="6" t="s">
        <v>1508</v>
      </c>
      <c r="E226" s="6" t="s">
        <v>1509</v>
      </c>
      <c r="F226" s="6" t="s">
        <v>33</v>
      </c>
      <c r="G226" s="6" t="s">
        <v>147</v>
      </c>
      <c r="H226" s="6"/>
      <c r="I226" s="6"/>
      <c r="J226" s="6" t="n">
        <v>1</v>
      </c>
      <c r="K226" s="6"/>
      <c r="L226" s="6"/>
      <c r="M226" s="6"/>
      <c r="N226" s="6" t="s">
        <v>1100</v>
      </c>
      <c r="O226" s="6" t="s">
        <v>147</v>
      </c>
    </row>
    <row r="227" customFormat="false" ht="15" hidden="false" customHeight="false" outlineLevel="0" collapsed="false">
      <c r="A227" s="6" t="n">
        <v>224</v>
      </c>
      <c r="B227" s="6" t="s">
        <v>1510</v>
      </c>
      <c r="C227" s="6" t="n">
        <v>2025</v>
      </c>
      <c r="D227" s="6" t="s">
        <v>1511</v>
      </c>
      <c r="E227" s="6" t="s">
        <v>1512</v>
      </c>
      <c r="F227" s="6" t="s">
        <v>33</v>
      </c>
      <c r="G227" s="6" t="s">
        <v>147</v>
      </c>
      <c r="H227" s="6"/>
      <c r="I227" s="6"/>
      <c r="J227" s="6" t="n">
        <v>1</v>
      </c>
      <c r="K227" s="6"/>
      <c r="L227" s="6"/>
      <c r="M227" s="6"/>
      <c r="N227" s="6" t="s">
        <v>1100</v>
      </c>
      <c r="O227" s="6" t="s">
        <v>147</v>
      </c>
    </row>
    <row r="228" customFormat="false" ht="15" hidden="false" customHeight="false" outlineLevel="0" collapsed="false">
      <c r="A228" s="6" t="n">
        <v>225</v>
      </c>
      <c r="B228" s="6" t="s">
        <v>1513</v>
      </c>
      <c r="C228" s="6" t="n">
        <v>2025</v>
      </c>
      <c r="D228" s="6" t="s">
        <v>1514</v>
      </c>
      <c r="E228" s="6" t="s">
        <v>946</v>
      </c>
      <c r="F228" s="6" t="s">
        <v>33</v>
      </c>
      <c r="G228" s="6" t="s">
        <v>147</v>
      </c>
      <c r="H228" s="6"/>
      <c r="I228" s="6" t="n">
        <v>1</v>
      </c>
      <c r="J228" s="6"/>
      <c r="K228" s="6"/>
      <c r="L228" s="6" t="n">
        <v>1</v>
      </c>
      <c r="M228" s="6"/>
      <c r="N228" s="6" t="s">
        <v>1100</v>
      </c>
      <c r="O228" s="6" t="s">
        <v>147</v>
      </c>
    </row>
    <row r="229" customFormat="false" ht="15" hidden="false" customHeight="false" outlineLevel="0" collapsed="false">
      <c r="A229" s="6" t="n">
        <v>226</v>
      </c>
      <c r="B229" s="6" t="s">
        <v>1515</v>
      </c>
      <c r="C229" s="6" t="n">
        <v>2025</v>
      </c>
      <c r="D229" s="6" t="s">
        <v>1516</v>
      </c>
      <c r="E229" s="6" t="s">
        <v>1517</v>
      </c>
      <c r="F229" s="6" t="s">
        <v>33</v>
      </c>
      <c r="G229" s="6" t="s">
        <v>146</v>
      </c>
      <c r="H229" s="6"/>
      <c r="I229" s="6" t="n">
        <v>1</v>
      </c>
      <c r="J229" s="6" t="n">
        <v>1</v>
      </c>
      <c r="K229" s="6"/>
      <c r="L229" s="6"/>
      <c r="M229" s="6" t="n">
        <v>1</v>
      </c>
      <c r="N229" s="6" t="s">
        <v>1183</v>
      </c>
      <c r="O229" s="6" t="s">
        <v>147</v>
      </c>
    </row>
    <row r="230" customFormat="false" ht="15" hidden="false" customHeight="false" outlineLevel="0" collapsed="false">
      <c r="A230" s="6" t="n">
        <v>227</v>
      </c>
      <c r="B230" s="6" t="s">
        <v>1518</v>
      </c>
      <c r="C230" s="6" t="n">
        <v>2025</v>
      </c>
      <c r="D230" s="6" t="s">
        <v>1519</v>
      </c>
      <c r="E230" s="6" t="s">
        <v>946</v>
      </c>
      <c r="F230" s="6" t="s">
        <v>33</v>
      </c>
      <c r="G230" s="6" t="s">
        <v>147</v>
      </c>
      <c r="H230" s="6"/>
      <c r="I230" s="6" t="n">
        <v>1</v>
      </c>
      <c r="J230" s="6"/>
      <c r="K230" s="6"/>
      <c r="L230" s="6" t="n">
        <v>1</v>
      </c>
      <c r="M230" s="6"/>
      <c r="N230" s="6" t="s">
        <v>1100</v>
      </c>
      <c r="O230" s="6" t="s">
        <v>147</v>
      </c>
    </row>
    <row r="231" customFormat="false" ht="15" hidden="false" customHeight="false" outlineLevel="0" collapsed="false">
      <c r="A231" s="6" t="n">
        <v>228</v>
      </c>
      <c r="B231" s="6" t="s">
        <v>333</v>
      </c>
      <c r="C231" s="6" t="n">
        <v>2025</v>
      </c>
      <c r="D231" s="6" t="s">
        <v>336</v>
      </c>
      <c r="E231" s="6" t="s">
        <v>337</v>
      </c>
      <c r="F231" s="6" t="s">
        <v>146</v>
      </c>
      <c r="G231" s="6" t="s">
        <v>147</v>
      </c>
      <c r="H231" s="6"/>
      <c r="I231" s="6" t="n">
        <v>1</v>
      </c>
      <c r="J231" s="6"/>
      <c r="K231" s="6" t="n">
        <v>1</v>
      </c>
      <c r="L231" s="6" t="n">
        <v>1</v>
      </c>
      <c r="M231" s="6" t="n">
        <v>1</v>
      </c>
      <c r="N231" s="6" t="s">
        <v>1187</v>
      </c>
      <c r="O231" s="6" t="s">
        <v>146</v>
      </c>
    </row>
    <row r="232" customFormat="false" ht="15" hidden="false" customHeight="false" outlineLevel="0" collapsed="false">
      <c r="A232" s="6" t="n">
        <v>229</v>
      </c>
      <c r="B232" s="6" t="s">
        <v>1520</v>
      </c>
      <c r="C232" s="6" t="n">
        <v>2025</v>
      </c>
      <c r="D232" s="6" t="s">
        <v>1521</v>
      </c>
      <c r="E232" s="6" t="s">
        <v>1522</v>
      </c>
      <c r="F232" s="6" t="s">
        <v>33</v>
      </c>
      <c r="G232" s="6" t="s">
        <v>147</v>
      </c>
      <c r="H232" s="6"/>
      <c r="I232" s="6" t="n">
        <v>1</v>
      </c>
      <c r="J232" s="6"/>
      <c r="K232" s="6"/>
      <c r="L232" s="6" t="n">
        <v>1</v>
      </c>
      <c r="M232" s="6"/>
      <c r="N232" s="6" t="s">
        <v>1100</v>
      </c>
      <c r="O232" s="6" t="s">
        <v>147</v>
      </c>
    </row>
    <row r="233" customFormat="false" ht="15" hidden="false" customHeight="false" outlineLevel="0" collapsed="false">
      <c r="A233" s="6" t="n">
        <v>230</v>
      </c>
      <c r="B233" s="6" t="s">
        <v>1523</v>
      </c>
      <c r="C233" s="6" t="n">
        <v>2025</v>
      </c>
      <c r="D233" s="6" t="s">
        <v>1524</v>
      </c>
      <c r="E233" s="6" t="s">
        <v>1525</v>
      </c>
      <c r="F233" s="6" t="s">
        <v>33</v>
      </c>
      <c r="G233" s="6" t="s">
        <v>147</v>
      </c>
      <c r="H233" s="6"/>
      <c r="I233" s="6" t="n">
        <v>1</v>
      </c>
      <c r="J233" s="6"/>
      <c r="K233" s="6"/>
      <c r="L233" s="6" t="n">
        <v>1</v>
      </c>
      <c r="M233" s="6"/>
      <c r="N233" s="6" t="s">
        <v>1100</v>
      </c>
      <c r="O233" s="6" t="s">
        <v>147</v>
      </c>
    </row>
    <row r="234" customFormat="false" ht="15" hidden="false" customHeight="false" outlineLevel="0" collapsed="false">
      <c r="A234" s="6" t="n">
        <v>231</v>
      </c>
      <c r="B234" s="6" t="s">
        <v>1526</v>
      </c>
      <c r="C234" s="6" t="n">
        <v>2025</v>
      </c>
      <c r="D234" s="6" t="s">
        <v>1527</v>
      </c>
      <c r="E234" s="6" t="s">
        <v>1528</v>
      </c>
      <c r="F234" s="6" t="s">
        <v>33</v>
      </c>
      <c r="G234" s="6" t="s">
        <v>147</v>
      </c>
      <c r="H234" s="6"/>
      <c r="I234" s="6" t="n">
        <v>1</v>
      </c>
      <c r="J234" s="6"/>
      <c r="K234" s="6"/>
      <c r="L234" s="6" t="n">
        <v>1</v>
      </c>
      <c r="M234" s="6"/>
      <c r="N234" s="6" t="s">
        <v>1100</v>
      </c>
      <c r="O234" s="6" t="s">
        <v>147</v>
      </c>
    </row>
    <row r="235" customFormat="false" ht="15" hidden="false" customHeight="false" outlineLevel="0" collapsed="false">
      <c r="A235" s="6" t="n">
        <v>232</v>
      </c>
      <c r="B235" s="6" t="s">
        <v>987</v>
      </c>
      <c r="C235" s="6" t="n">
        <v>2025</v>
      </c>
      <c r="D235" s="6" t="s">
        <v>990</v>
      </c>
      <c r="E235" s="6" t="s">
        <v>507</v>
      </c>
      <c r="F235" s="6" t="s">
        <v>146</v>
      </c>
      <c r="G235" s="6" t="s">
        <v>147</v>
      </c>
      <c r="H235" s="6"/>
      <c r="I235" s="6" t="n">
        <v>1</v>
      </c>
      <c r="J235" s="6"/>
      <c r="K235" s="6" t="n">
        <v>1</v>
      </c>
      <c r="L235" s="6" t="n">
        <v>1</v>
      </c>
      <c r="M235" s="6" t="n">
        <v>1</v>
      </c>
      <c r="N235" s="6" t="s">
        <v>1187</v>
      </c>
      <c r="O235" s="6" t="s">
        <v>146</v>
      </c>
    </row>
    <row r="236" customFormat="false" ht="15" hidden="false" customHeight="false" outlineLevel="0" collapsed="false">
      <c r="A236" s="6" t="n">
        <v>233</v>
      </c>
      <c r="B236" s="6" t="s">
        <v>1529</v>
      </c>
      <c r="C236" s="6" t="n">
        <v>2025</v>
      </c>
      <c r="D236" s="6" t="s">
        <v>1530</v>
      </c>
      <c r="E236" s="6" t="s">
        <v>1531</v>
      </c>
      <c r="F236" s="6" t="s">
        <v>33</v>
      </c>
      <c r="G236" s="6" t="s">
        <v>147</v>
      </c>
      <c r="H236" s="6"/>
      <c r="I236" s="6"/>
      <c r="J236" s="6"/>
      <c r="K236" s="6"/>
      <c r="L236" s="6"/>
      <c r="M236" s="6"/>
      <c r="N236" s="6" t="s">
        <v>1100</v>
      </c>
      <c r="O236" s="6" t="s">
        <v>147</v>
      </c>
    </row>
    <row r="237" customFormat="false" ht="15" hidden="false" customHeight="false" outlineLevel="0" collapsed="false">
      <c r="A237" s="6" t="n">
        <v>234</v>
      </c>
      <c r="B237" s="6" t="s">
        <v>1532</v>
      </c>
      <c r="C237" s="6" t="n">
        <v>2025</v>
      </c>
      <c r="D237" s="6" t="s">
        <v>1533</v>
      </c>
      <c r="E237" s="6" t="s">
        <v>1534</v>
      </c>
      <c r="F237" s="6" t="s">
        <v>33</v>
      </c>
      <c r="G237" s="6" t="s">
        <v>147</v>
      </c>
      <c r="H237" s="6"/>
      <c r="I237" s="6"/>
      <c r="J237" s="6"/>
      <c r="K237" s="6"/>
      <c r="L237" s="6" t="n">
        <v>1</v>
      </c>
      <c r="M237" s="6"/>
      <c r="N237" s="6" t="s">
        <v>1100</v>
      </c>
      <c r="O237" s="6" t="s">
        <v>147</v>
      </c>
    </row>
    <row r="238" customFormat="false" ht="15" hidden="false" customHeight="false" outlineLevel="0" collapsed="false">
      <c r="A238" s="6" t="n">
        <v>235</v>
      </c>
      <c r="B238" s="6" t="s">
        <v>1535</v>
      </c>
      <c r="C238" s="6" t="n">
        <v>2025</v>
      </c>
      <c r="D238" s="6" t="s">
        <v>1536</v>
      </c>
      <c r="E238" s="6" t="s">
        <v>946</v>
      </c>
      <c r="F238" s="6" t="s">
        <v>33</v>
      </c>
      <c r="G238" s="6" t="s">
        <v>147</v>
      </c>
      <c r="H238" s="6"/>
      <c r="I238" s="6"/>
      <c r="J238" s="6"/>
      <c r="K238" s="6"/>
      <c r="L238" s="6" t="n">
        <v>1</v>
      </c>
      <c r="M238" s="6"/>
      <c r="N238" s="6" t="s">
        <v>1100</v>
      </c>
      <c r="O238" s="6" t="s">
        <v>147</v>
      </c>
    </row>
    <row r="239" customFormat="false" ht="15" hidden="false" customHeight="false" outlineLevel="0" collapsed="false">
      <c r="A239" s="6" t="n">
        <v>236</v>
      </c>
      <c r="B239" s="6" t="s">
        <v>1537</v>
      </c>
      <c r="C239" s="6" t="n">
        <v>2025</v>
      </c>
      <c r="D239" s="6" t="s">
        <v>1538</v>
      </c>
      <c r="E239" s="6" t="s">
        <v>1539</v>
      </c>
      <c r="F239" s="6" t="s">
        <v>33</v>
      </c>
      <c r="G239" s="6" t="s">
        <v>147</v>
      </c>
      <c r="H239" s="6"/>
      <c r="I239" s="6"/>
      <c r="J239" s="6"/>
      <c r="K239" s="6"/>
      <c r="L239" s="6"/>
      <c r="M239" s="6"/>
      <c r="N239" s="6" t="s">
        <v>1100</v>
      </c>
      <c r="O239" s="6" t="s">
        <v>147</v>
      </c>
    </row>
    <row r="240" customFormat="false" ht="15" hidden="false" customHeight="false" outlineLevel="0" collapsed="false">
      <c r="A240" s="6" t="n">
        <v>237</v>
      </c>
      <c r="B240" s="6" t="s">
        <v>1540</v>
      </c>
      <c r="C240" s="6" t="n">
        <v>2025</v>
      </c>
      <c r="D240" s="6" t="s">
        <v>1541</v>
      </c>
      <c r="E240" s="6" t="s">
        <v>1542</v>
      </c>
      <c r="F240" s="6" t="s">
        <v>33</v>
      </c>
      <c r="G240" s="6" t="s">
        <v>147</v>
      </c>
      <c r="H240" s="6"/>
      <c r="I240" s="6"/>
      <c r="J240" s="6"/>
      <c r="K240" s="6"/>
      <c r="L240" s="6" t="n">
        <v>1</v>
      </c>
      <c r="M240" s="6"/>
      <c r="N240" s="6" t="s">
        <v>1100</v>
      </c>
      <c r="O240" s="6" t="s">
        <v>147</v>
      </c>
    </row>
    <row r="241" customFormat="false" ht="15" hidden="false" customHeight="false" outlineLevel="0" collapsed="false">
      <c r="A241" s="6" t="n">
        <v>238</v>
      </c>
      <c r="B241" s="6" t="s">
        <v>1543</v>
      </c>
      <c r="C241" s="6" t="n">
        <v>2025</v>
      </c>
      <c r="D241" s="6" t="s">
        <v>1544</v>
      </c>
      <c r="E241" s="6" t="s">
        <v>1545</v>
      </c>
      <c r="F241" s="6" t="s">
        <v>33</v>
      </c>
      <c r="G241" s="6" t="s">
        <v>147</v>
      </c>
      <c r="H241" s="6"/>
      <c r="I241" s="6"/>
      <c r="J241" s="6" t="n">
        <v>1</v>
      </c>
      <c r="K241" s="6"/>
      <c r="L241" s="6" t="n">
        <v>1</v>
      </c>
      <c r="M241" s="6"/>
      <c r="N241" s="6" t="s">
        <v>1100</v>
      </c>
      <c r="O241" s="6" t="s">
        <v>147</v>
      </c>
    </row>
    <row r="242" customFormat="false" ht="15" hidden="false" customHeight="false" outlineLevel="0" collapsed="false">
      <c r="A242" s="6" t="n">
        <v>239</v>
      </c>
      <c r="B242" s="6" t="s">
        <v>1546</v>
      </c>
      <c r="C242" s="6" t="n">
        <v>2025</v>
      </c>
      <c r="D242" s="6" t="s">
        <v>1547</v>
      </c>
      <c r="E242" s="6" t="s">
        <v>1531</v>
      </c>
      <c r="F242" s="6" t="s">
        <v>33</v>
      </c>
      <c r="G242" s="6" t="s">
        <v>147</v>
      </c>
      <c r="H242" s="6"/>
      <c r="I242" s="6"/>
      <c r="J242" s="6"/>
      <c r="K242" s="6"/>
      <c r="L242" s="6" t="n">
        <v>1</v>
      </c>
      <c r="M242" s="6"/>
      <c r="N242" s="6" t="s">
        <v>1100</v>
      </c>
      <c r="O242" s="6" t="s">
        <v>147</v>
      </c>
    </row>
    <row r="243" customFormat="false" ht="15" hidden="false" customHeight="false" outlineLevel="0" collapsed="false">
      <c r="A243" s="6" t="n">
        <v>240</v>
      </c>
      <c r="B243" s="6" t="s">
        <v>1548</v>
      </c>
      <c r="C243" s="6" t="n">
        <v>2025</v>
      </c>
      <c r="D243" s="6" t="s">
        <v>1549</v>
      </c>
      <c r="E243" s="6" t="s">
        <v>1550</v>
      </c>
      <c r="F243" s="6" t="s">
        <v>33</v>
      </c>
      <c r="G243" s="6" t="s">
        <v>147</v>
      </c>
      <c r="H243" s="6"/>
      <c r="I243" s="6"/>
      <c r="J243" s="6"/>
      <c r="K243" s="6"/>
      <c r="L243" s="6" t="n">
        <v>1</v>
      </c>
      <c r="M243" s="6"/>
      <c r="N243" s="6" t="s">
        <v>1100</v>
      </c>
      <c r="O243" s="6" t="s">
        <v>147</v>
      </c>
    </row>
    <row r="244" customFormat="false" ht="15" hidden="false" customHeight="false" outlineLevel="0" collapsed="false">
      <c r="A244" s="6" t="n">
        <v>241</v>
      </c>
      <c r="B244" s="6" t="s">
        <v>1551</v>
      </c>
      <c r="C244" s="6" t="n">
        <v>2025</v>
      </c>
      <c r="D244" s="6" t="s">
        <v>1552</v>
      </c>
      <c r="E244" s="6" t="s">
        <v>1150</v>
      </c>
      <c r="F244" s="6" t="s">
        <v>33</v>
      </c>
      <c r="G244" s="6" t="s">
        <v>147</v>
      </c>
      <c r="H244" s="6"/>
      <c r="I244" s="6"/>
      <c r="J244" s="6"/>
      <c r="K244" s="6"/>
      <c r="L244" s="6" t="n">
        <v>1</v>
      </c>
      <c r="M244" s="6"/>
      <c r="N244" s="6" t="s">
        <v>1100</v>
      </c>
      <c r="O244" s="6" t="s">
        <v>147</v>
      </c>
    </row>
    <row r="245" customFormat="false" ht="15" hidden="false" customHeight="false" outlineLevel="0" collapsed="false">
      <c r="A245" s="6" t="n">
        <v>242</v>
      </c>
      <c r="B245" s="6" t="s">
        <v>1553</v>
      </c>
      <c r="C245" s="6" t="n">
        <v>2025</v>
      </c>
      <c r="D245" s="6" t="s">
        <v>1554</v>
      </c>
      <c r="E245" s="6" t="s">
        <v>1555</v>
      </c>
      <c r="F245" s="6" t="s">
        <v>33</v>
      </c>
      <c r="G245" s="6" t="s">
        <v>147</v>
      </c>
      <c r="H245" s="6"/>
      <c r="I245" s="6"/>
      <c r="J245" s="6"/>
      <c r="K245" s="6"/>
      <c r="L245" s="6" t="n">
        <v>1</v>
      </c>
      <c r="M245" s="6"/>
      <c r="N245" s="6" t="s">
        <v>1100</v>
      </c>
      <c r="O245" s="6" t="s">
        <v>147</v>
      </c>
    </row>
    <row r="246" customFormat="false" ht="15" hidden="false" customHeight="false" outlineLevel="0" collapsed="false">
      <c r="A246" s="6" t="n">
        <v>243</v>
      </c>
      <c r="B246" s="6" t="s">
        <v>1556</v>
      </c>
      <c r="C246" s="6" t="n">
        <v>2025</v>
      </c>
      <c r="D246" s="6" t="s">
        <v>1557</v>
      </c>
      <c r="E246" s="6" t="s">
        <v>1558</v>
      </c>
      <c r="F246" s="6" t="s">
        <v>33</v>
      </c>
      <c r="G246" s="6" t="s">
        <v>147</v>
      </c>
      <c r="H246" s="6"/>
      <c r="I246" s="6"/>
      <c r="J246" s="6" t="n">
        <v>1</v>
      </c>
      <c r="K246" s="6"/>
      <c r="L246" s="6" t="n">
        <v>1</v>
      </c>
      <c r="M246" s="6"/>
      <c r="N246" s="6" t="s">
        <v>1100</v>
      </c>
      <c r="O246" s="6" t="s">
        <v>147</v>
      </c>
    </row>
    <row r="247" customFormat="false" ht="15" hidden="false" customHeight="false" outlineLevel="0" collapsed="false">
      <c r="A247" s="6" t="n">
        <v>244</v>
      </c>
      <c r="B247" s="6" t="s">
        <v>1559</v>
      </c>
      <c r="C247" s="6" t="n">
        <v>2025</v>
      </c>
      <c r="D247" s="6" t="s">
        <v>1560</v>
      </c>
      <c r="E247" s="6" t="s">
        <v>1531</v>
      </c>
      <c r="F247" s="6" t="s">
        <v>33</v>
      </c>
      <c r="G247" s="6" t="s">
        <v>147</v>
      </c>
      <c r="H247" s="6"/>
      <c r="I247" s="6"/>
      <c r="J247" s="6"/>
      <c r="K247" s="6"/>
      <c r="L247" s="6"/>
      <c r="M247" s="6"/>
      <c r="N247" s="6" t="s">
        <v>1100</v>
      </c>
      <c r="O247" s="6" t="s">
        <v>147</v>
      </c>
    </row>
    <row r="248" customFormat="false" ht="15" hidden="false" customHeight="false" outlineLevel="0" collapsed="false">
      <c r="A248" s="6" t="n">
        <v>245</v>
      </c>
      <c r="B248" s="6" t="s">
        <v>1561</v>
      </c>
      <c r="C248" s="6" t="n">
        <v>2025</v>
      </c>
      <c r="D248" s="6" t="s">
        <v>1562</v>
      </c>
      <c r="E248" s="6" t="s">
        <v>1563</v>
      </c>
      <c r="F248" s="6" t="s">
        <v>33</v>
      </c>
      <c r="G248" s="6" t="s">
        <v>147</v>
      </c>
      <c r="H248" s="6"/>
      <c r="I248" s="6"/>
      <c r="J248" s="6"/>
      <c r="K248" s="6"/>
      <c r="L248" s="6"/>
      <c r="M248" s="6"/>
      <c r="N248" s="6" t="s">
        <v>1100</v>
      </c>
      <c r="O248" s="6" t="s">
        <v>147</v>
      </c>
    </row>
    <row r="249" customFormat="false" ht="15" hidden="false" customHeight="false" outlineLevel="0" collapsed="false">
      <c r="A249" s="6" t="n">
        <v>246</v>
      </c>
      <c r="B249" s="6" t="s">
        <v>1564</v>
      </c>
      <c r="C249" s="6" t="n">
        <v>2025</v>
      </c>
      <c r="D249" s="6" t="s">
        <v>1565</v>
      </c>
      <c r="E249" s="6" t="s">
        <v>1566</v>
      </c>
      <c r="F249" s="6" t="s">
        <v>33</v>
      </c>
      <c r="G249" s="6" t="s">
        <v>147</v>
      </c>
      <c r="H249" s="6"/>
      <c r="I249" s="6"/>
      <c r="J249" s="6"/>
      <c r="K249" s="6"/>
      <c r="L249" s="6" t="n">
        <v>1</v>
      </c>
      <c r="M249" s="6"/>
      <c r="N249" s="6" t="s">
        <v>1100</v>
      </c>
      <c r="O249" s="6" t="s">
        <v>147</v>
      </c>
    </row>
    <row r="250" customFormat="false" ht="15" hidden="false" customHeight="false" outlineLevel="0" collapsed="false">
      <c r="A250" s="6" t="n">
        <v>247</v>
      </c>
      <c r="B250" s="6" t="s">
        <v>1567</v>
      </c>
      <c r="C250" s="6" t="n">
        <v>2025</v>
      </c>
      <c r="D250" s="6" t="s">
        <v>1568</v>
      </c>
      <c r="E250" s="6" t="s">
        <v>1569</v>
      </c>
      <c r="F250" s="6" t="s">
        <v>33</v>
      </c>
      <c r="G250" s="6" t="s">
        <v>147</v>
      </c>
      <c r="H250" s="6"/>
      <c r="I250" s="6"/>
      <c r="J250" s="6"/>
      <c r="K250" s="6"/>
      <c r="L250" s="6" t="n">
        <v>1</v>
      </c>
      <c r="M250" s="6"/>
      <c r="N250" s="6" t="s">
        <v>1100</v>
      </c>
      <c r="O250" s="6" t="s">
        <v>147</v>
      </c>
    </row>
    <row r="251" customFormat="false" ht="15" hidden="false" customHeight="false" outlineLevel="0" collapsed="false">
      <c r="A251" s="6" t="n">
        <v>248</v>
      </c>
      <c r="B251" s="6" t="s">
        <v>1570</v>
      </c>
      <c r="C251" s="6" t="n">
        <v>2025</v>
      </c>
      <c r="D251" s="6" t="s">
        <v>1571</v>
      </c>
      <c r="E251" s="6" t="s">
        <v>1572</v>
      </c>
      <c r="F251" s="6" t="s">
        <v>33</v>
      </c>
      <c r="G251" s="6" t="s">
        <v>147</v>
      </c>
      <c r="H251" s="6"/>
      <c r="I251" s="6"/>
      <c r="J251" s="6"/>
      <c r="K251" s="6"/>
      <c r="L251" s="6"/>
      <c r="M251" s="6"/>
      <c r="N251" s="6" t="s">
        <v>1100</v>
      </c>
      <c r="O251" s="6" t="s">
        <v>147</v>
      </c>
    </row>
    <row r="252" customFormat="false" ht="15" hidden="false" customHeight="false" outlineLevel="0" collapsed="false">
      <c r="A252" s="6" t="n">
        <v>249</v>
      </c>
      <c r="B252" s="6" t="s">
        <v>1573</v>
      </c>
      <c r="C252" s="6" t="n">
        <v>2025</v>
      </c>
      <c r="D252" s="6" t="s">
        <v>1574</v>
      </c>
      <c r="E252" s="6" t="s">
        <v>1046</v>
      </c>
      <c r="F252" s="6" t="s">
        <v>33</v>
      </c>
      <c r="G252" s="6" t="s">
        <v>147</v>
      </c>
      <c r="H252" s="6"/>
      <c r="I252" s="6"/>
      <c r="J252" s="6"/>
      <c r="K252" s="6"/>
      <c r="L252" s="6" t="n">
        <v>1</v>
      </c>
      <c r="M252" s="6"/>
      <c r="N252" s="6" t="s">
        <v>1100</v>
      </c>
      <c r="O252" s="6" t="s">
        <v>147</v>
      </c>
    </row>
    <row r="253" customFormat="false" ht="15" hidden="false" customHeight="false" outlineLevel="0" collapsed="false">
      <c r="A253" s="6" t="n">
        <v>250</v>
      </c>
      <c r="B253" s="6" t="s">
        <v>1575</v>
      </c>
      <c r="C253" s="6" t="n">
        <v>2025</v>
      </c>
      <c r="D253" s="6" t="s">
        <v>1576</v>
      </c>
      <c r="E253" s="6" t="s">
        <v>1130</v>
      </c>
      <c r="F253" s="6" t="s">
        <v>33</v>
      </c>
      <c r="G253" s="6" t="s">
        <v>147</v>
      </c>
      <c r="H253" s="6"/>
      <c r="I253" s="6"/>
      <c r="J253" s="6"/>
      <c r="K253" s="6"/>
      <c r="L253" s="6" t="n">
        <v>1</v>
      </c>
      <c r="M253" s="6"/>
      <c r="N253" s="6" t="s">
        <v>1100</v>
      </c>
      <c r="O253" s="6" t="s">
        <v>147</v>
      </c>
    </row>
    <row r="254" customFormat="false" ht="15" hidden="false" customHeight="false" outlineLevel="0" collapsed="false">
      <c r="A254" s="6" t="n">
        <v>251</v>
      </c>
      <c r="B254" s="6" t="s">
        <v>810</v>
      </c>
      <c r="C254" s="6" t="n">
        <v>2024</v>
      </c>
      <c r="D254" s="6" t="s">
        <v>813</v>
      </c>
      <c r="E254" s="6" t="s">
        <v>814</v>
      </c>
      <c r="F254" s="6" t="s">
        <v>146</v>
      </c>
      <c r="G254" s="6" t="s">
        <v>146</v>
      </c>
      <c r="H254" s="6" t="n">
        <v>1</v>
      </c>
      <c r="I254" s="6" t="n">
        <v>1</v>
      </c>
      <c r="J254" s="6" t="n">
        <v>1</v>
      </c>
      <c r="K254" s="6" t="n">
        <v>1</v>
      </c>
      <c r="L254" s="6" t="n">
        <v>1</v>
      </c>
      <c r="M254" s="6"/>
      <c r="N254" s="6" t="s">
        <v>1100</v>
      </c>
      <c r="O254" s="6" t="s">
        <v>146</v>
      </c>
    </row>
    <row r="255" customFormat="false" ht="15" hidden="false" customHeight="false" outlineLevel="0" collapsed="false">
      <c r="A255" s="6" t="n">
        <v>252</v>
      </c>
      <c r="B255" s="6" t="s">
        <v>1577</v>
      </c>
      <c r="C255" s="6" t="n">
        <v>2024</v>
      </c>
      <c r="D255" s="6" t="s">
        <v>1578</v>
      </c>
      <c r="E255" s="6" t="s">
        <v>1579</v>
      </c>
      <c r="F255" s="6" t="s">
        <v>1580</v>
      </c>
      <c r="G255" s="6" t="s">
        <v>146</v>
      </c>
      <c r="H255" s="6" t="n">
        <v>1</v>
      </c>
      <c r="I255" s="6" t="n">
        <v>1</v>
      </c>
      <c r="J255" s="6"/>
      <c r="K255" s="6"/>
      <c r="L255" s="6" t="n">
        <v>1</v>
      </c>
      <c r="M255" s="6" t="n">
        <v>1</v>
      </c>
      <c r="N255" s="6" t="s">
        <v>1165</v>
      </c>
      <c r="O255" s="6" t="s">
        <v>147</v>
      </c>
    </row>
    <row r="256" customFormat="false" ht="15" hidden="false" customHeight="false" outlineLevel="0" collapsed="false">
      <c r="A256" s="6" t="n">
        <v>253</v>
      </c>
      <c r="B256" s="6" t="s">
        <v>1581</v>
      </c>
      <c r="C256" s="6" t="n">
        <v>2024</v>
      </c>
      <c r="D256" s="6" t="s">
        <v>1582</v>
      </c>
      <c r="E256" s="6" t="s">
        <v>1245</v>
      </c>
      <c r="F256" s="6" t="s">
        <v>33</v>
      </c>
      <c r="G256" s="6" t="s">
        <v>147</v>
      </c>
      <c r="H256" s="6"/>
      <c r="I256" s="6"/>
      <c r="J256" s="6"/>
      <c r="K256" s="6"/>
      <c r="L256" s="6" t="n">
        <v>1</v>
      </c>
      <c r="M256" s="6"/>
      <c r="N256" s="6" t="s">
        <v>1100</v>
      </c>
      <c r="O256" s="6" t="s">
        <v>147</v>
      </c>
    </row>
    <row r="257" customFormat="false" ht="15" hidden="false" customHeight="false" outlineLevel="0" collapsed="false">
      <c r="A257" s="6" t="n">
        <v>254</v>
      </c>
      <c r="B257" s="6" t="s">
        <v>1583</v>
      </c>
      <c r="C257" s="6" t="n">
        <v>2024</v>
      </c>
      <c r="D257" s="6" t="s">
        <v>1584</v>
      </c>
      <c r="E257" s="6" t="s">
        <v>1585</v>
      </c>
      <c r="F257" s="6" t="s">
        <v>33</v>
      </c>
      <c r="G257" s="6" t="s">
        <v>147</v>
      </c>
      <c r="H257" s="6"/>
      <c r="I257" s="6"/>
      <c r="J257" s="6"/>
      <c r="K257" s="6"/>
      <c r="L257" s="6"/>
      <c r="M257" s="6"/>
      <c r="N257" s="6" t="s">
        <v>1100</v>
      </c>
      <c r="O257" s="6" t="s">
        <v>147</v>
      </c>
    </row>
    <row r="258" customFormat="false" ht="15" hidden="false" customHeight="false" outlineLevel="0" collapsed="false">
      <c r="A258" s="6" t="n">
        <v>255</v>
      </c>
      <c r="B258" s="6" t="s">
        <v>1586</v>
      </c>
      <c r="C258" s="6" t="n">
        <v>2024</v>
      </c>
      <c r="D258" s="6" t="s">
        <v>1587</v>
      </c>
      <c r="E258" s="6" t="s">
        <v>1118</v>
      </c>
      <c r="F258" s="6" t="s">
        <v>33</v>
      </c>
      <c r="G258" s="6" t="s">
        <v>147</v>
      </c>
      <c r="H258" s="6"/>
      <c r="I258" s="6"/>
      <c r="J258" s="6"/>
      <c r="K258" s="6"/>
      <c r="L258" s="6" t="n">
        <v>1</v>
      </c>
      <c r="M258" s="6"/>
      <c r="N258" s="6" t="s">
        <v>1100</v>
      </c>
      <c r="O258" s="6" t="s">
        <v>147</v>
      </c>
    </row>
    <row r="259" customFormat="false" ht="15" hidden="false" customHeight="false" outlineLevel="0" collapsed="false">
      <c r="A259" s="6" t="n">
        <v>256</v>
      </c>
      <c r="B259" s="6" t="s">
        <v>1588</v>
      </c>
      <c r="C259" s="6" t="n">
        <v>2024</v>
      </c>
      <c r="D259" s="6" t="s">
        <v>1589</v>
      </c>
      <c r="E259" s="6" t="s">
        <v>1387</v>
      </c>
      <c r="F259" s="6" t="s">
        <v>33</v>
      </c>
      <c r="G259" s="6" t="s">
        <v>147</v>
      </c>
      <c r="H259" s="6"/>
      <c r="I259" s="6"/>
      <c r="J259" s="6"/>
      <c r="K259" s="6"/>
      <c r="L259" s="6" t="n">
        <v>1</v>
      </c>
      <c r="M259" s="6"/>
      <c r="N259" s="6" t="s">
        <v>1100</v>
      </c>
      <c r="O259" s="6" t="s">
        <v>147</v>
      </c>
    </row>
    <row r="260" customFormat="false" ht="15" hidden="false" customHeight="false" outlineLevel="0" collapsed="false">
      <c r="A260" s="6" t="n">
        <v>257</v>
      </c>
      <c r="B260" s="6" t="s">
        <v>1590</v>
      </c>
      <c r="C260" s="6" t="n">
        <v>2024</v>
      </c>
      <c r="D260" s="6" t="s">
        <v>1591</v>
      </c>
      <c r="E260" s="6" t="s">
        <v>1159</v>
      </c>
      <c r="F260" s="6" t="s">
        <v>33</v>
      </c>
      <c r="G260" s="6" t="s">
        <v>147</v>
      </c>
      <c r="H260" s="6"/>
      <c r="I260" s="6"/>
      <c r="J260" s="6"/>
      <c r="K260" s="6"/>
      <c r="L260" s="6" t="n">
        <v>1</v>
      </c>
      <c r="M260" s="6"/>
      <c r="N260" s="6" t="s">
        <v>1100</v>
      </c>
      <c r="O260" s="6" t="s">
        <v>147</v>
      </c>
    </row>
    <row r="261" customFormat="false" ht="15" hidden="false" customHeight="false" outlineLevel="0" collapsed="false">
      <c r="A261" s="6" t="n">
        <v>258</v>
      </c>
      <c r="B261" s="6" t="s">
        <v>1592</v>
      </c>
      <c r="C261" s="6" t="n">
        <v>2024</v>
      </c>
      <c r="D261" s="6" t="s">
        <v>1593</v>
      </c>
      <c r="E261" s="6" t="s">
        <v>1594</v>
      </c>
      <c r="F261" s="6" t="s">
        <v>33</v>
      </c>
      <c r="G261" s="6" t="s">
        <v>147</v>
      </c>
      <c r="H261" s="6"/>
      <c r="I261" s="6"/>
      <c r="J261" s="6"/>
      <c r="K261" s="6"/>
      <c r="L261" s="6"/>
      <c r="M261" s="6"/>
      <c r="N261" s="6" t="s">
        <v>1100</v>
      </c>
      <c r="O261" s="6" t="s">
        <v>147</v>
      </c>
    </row>
    <row r="262" customFormat="false" ht="15" hidden="false" customHeight="false" outlineLevel="0" collapsed="false">
      <c r="A262" s="6" t="n">
        <v>259</v>
      </c>
      <c r="B262" s="6" t="s">
        <v>1595</v>
      </c>
      <c r="C262" s="6" t="n">
        <v>2024</v>
      </c>
      <c r="D262" s="6" t="s">
        <v>1596</v>
      </c>
      <c r="E262" s="6" t="s">
        <v>1597</v>
      </c>
      <c r="F262" s="6" t="s">
        <v>33</v>
      </c>
      <c r="G262" s="6" t="s">
        <v>147</v>
      </c>
      <c r="H262" s="6"/>
      <c r="I262" s="6"/>
      <c r="J262" s="6" t="n">
        <v>1</v>
      </c>
      <c r="K262" s="6"/>
      <c r="L262" s="6" t="n">
        <v>1</v>
      </c>
      <c r="M262" s="6"/>
      <c r="N262" s="6" t="s">
        <v>1100</v>
      </c>
      <c r="O262" s="6" t="s">
        <v>147</v>
      </c>
    </row>
    <row r="263" customFormat="false" ht="15" hidden="false" customHeight="false" outlineLevel="0" collapsed="false">
      <c r="A263" s="6" t="n">
        <v>260</v>
      </c>
      <c r="B263" s="6" t="s">
        <v>1030</v>
      </c>
      <c r="C263" s="6" t="n">
        <v>2024</v>
      </c>
      <c r="D263" s="6" t="s">
        <v>1033</v>
      </c>
      <c r="E263" s="6" t="s">
        <v>387</v>
      </c>
      <c r="F263" s="6" t="s">
        <v>146</v>
      </c>
      <c r="G263" s="6" t="s">
        <v>146</v>
      </c>
      <c r="H263" s="6"/>
      <c r="I263" s="6" t="n">
        <v>1</v>
      </c>
      <c r="J263" s="6" t="n">
        <v>1</v>
      </c>
      <c r="K263" s="6"/>
      <c r="L263" s="6" t="n">
        <v>1</v>
      </c>
      <c r="M263" s="6"/>
      <c r="N263" s="6" t="s">
        <v>1100</v>
      </c>
      <c r="O263" s="6" t="s">
        <v>146</v>
      </c>
    </row>
    <row r="264" customFormat="false" ht="15" hidden="false" customHeight="false" outlineLevel="0" collapsed="false">
      <c r="A264" s="6" t="n">
        <v>261</v>
      </c>
      <c r="B264" s="6" t="s">
        <v>1598</v>
      </c>
      <c r="C264" s="6" t="n">
        <v>2024</v>
      </c>
      <c r="D264" s="6" t="s">
        <v>1599</v>
      </c>
      <c r="E264" s="6" t="s">
        <v>1600</v>
      </c>
      <c r="F264" s="6" t="s">
        <v>33</v>
      </c>
      <c r="G264" s="6" t="s">
        <v>147</v>
      </c>
      <c r="H264" s="6"/>
      <c r="I264" s="6"/>
      <c r="J264" s="6" t="n">
        <v>1</v>
      </c>
      <c r="K264" s="6"/>
      <c r="L264" s="6"/>
      <c r="M264" s="6"/>
      <c r="N264" s="6" t="s">
        <v>1100</v>
      </c>
      <c r="O264" s="6" t="s">
        <v>147</v>
      </c>
    </row>
    <row r="265" customFormat="false" ht="15" hidden="false" customHeight="false" outlineLevel="0" collapsed="false">
      <c r="A265" s="6" t="n">
        <v>262</v>
      </c>
      <c r="B265" s="6" t="s">
        <v>1601</v>
      </c>
      <c r="C265" s="6" t="n">
        <v>2024</v>
      </c>
      <c r="D265" s="6" t="s">
        <v>1602</v>
      </c>
      <c r="E265" s="6" t="s">
        <v>1603</v>
      </c>
      <c r="F265" s="6" t="s">
        <v>33</v>
      </c>
      <c r="G265" s="6" t="s">
        <v>147</v>
      </c>
      <c r="H265" s="6"/>
      <c r="I265" s="6"/>
      <c r="J265" s="6"/>
      <c r="K265" s="6"/>
      <c r="L265" s="6" t="n">
        <v>1</v>
      </c>
      <c r="M265" s="6"/>
      <c r="N265" s="6" t="s">
        <v>1100</v>
      </c>
      <c r="O265" s="6" t="s">
        <v>147</v>
      </c>
    </row>
    <row r="266" customFormat="false" ht="15" hidden="false" customHeight="false" outlineLevel="0" collapsed="false">
      <c r="A266" s="6" t="n">
        <v>263</v>
      </c>
      <c r="B266" s="6" t="s">
        <v>1604</v>
      </c>
      <c r="C266" s="6" t="n">
        <v>2024</v>
      </c>
      <c r="D266" s="6" t="s">
        <v>1605</v>
      </c>
      <c r="E266" s="6" t="s">
        <v>1606</v>
      </c>
      <c r="F266" s="6" t="s">
        <v>33</v>
      </c>
      <c r="G266" s="6" t="s">
        <v>147</v>
      </c>
      <c r="H266" s="6"/>
      <c r="I266" s="6"/>
      <c r="J266" s="6"/>
      <c r="K266" s="6"/>
      <c r="L266" s="6" t="n">
        <v>1</v>
      </c>
      <c r="M266" s="6"/>
      <c r="N266" s="6" t="s">
        <v>1100</v>
      </c>
      <c r="O266" s="6" t="s">
        <v>147</v>
      </c>
    </row>
    <row r="267" customFormat="false" ht="15" hidden="false" customHeight="false" outlineLevel="0" collapsed="false">
      <c r="A267" s="6" t="n">
        <v>264</v>
      </c>
      <c r="B267" s="6" t="s">
        <v>1607</v>
      </c>
      <c r="C267" s="6" t="n">
        <v>2024</v>
      </c>
      <c r="D267" s="6" t="s">
        <v>1608</v>
      </c>
      <c r="E267" s="6" t="s">
        <v>251</v>
      </c>
      <c r="F267" s="6" t="s">
        <v>33</v>
      </c>
      <c r="G267" s="6" t="s">
        <v>147</v>
      </c>
      <c r="H267" s="6"/>
      <c r="I267" s="6"/>
      <c r="J267" s="6"/>
      <c r="K267" s="6"/>
      <c r="L267" s="6" t="n">
        <v>1</v>
      </c>
      <c r="M267" s="6"/>
      <c r="N267" s="6" t="s">
        <v>1100</v>
      </c>
      <c r="O267" s="6" t="s">
        <v>147</v>
      </c>
    </row>
    <row r="268" customFormat="false" ht="15" hidden="false" customHeight="false" outlineLevel="0" collapsed="false">
      <c r="A268" s="6" t="n">
        <v>265</v>
      </c>
      <c r="B268" s="6" t="s">
        <v>1609</v>
      </c>
      <c r="C268" s="6" t="n">
        <v>2024</v>
      </c>
      <c r="D268" s="6" t="s">
        <v>1610</v>
      </c>
      <c r="E268" s="6" t="s">
        <v>1292</v>
      </c>
      <c r="F268" s="6" t="s">
        <v>33</v>
      </c>
      <c r="G268" s="6" t="s">
        <v>147</v>
      </c>
      <c r="H268" s="6"/>
      <c r="I268" s="6"/>
      <c r="J268" s="6"/>
      <c r="K268" s="6"/>
      <c r="L268" s="6" t="n">
        <v>1</v>
      </c>
      <c r="M268" s="6"/>
      <c r="N268" s="6" t="s">
        <v>1100</v>
      </c>
      <c r="O268" s="6" t="s">
        <v>147</v>
      </c>
    </row>
    <row r="269" customFormat="false" ht="15" hidden="false" customHeight="false" outlineLevel="0" collapsed="false">
      <c r="A269" s="6" t="n">
        <v>266</v>
      </c>
      <c r="B269" s="6" t="s">
        <v>1611</v>
      </c>
      <c r="C269" s="6" t="n">
        <v>2024</v>
      </c>
      <c r="D269" s="6" t="s">
        <v>1612</v>
      </c>
      <c r="E269" s="6" t="s">
        <v>1613</v>
      </c>
      <c r="F269" s="6" t="s">
        <v>33</v>
      </c>
      <c r="G269" s="6" t="s">
        <v>147</v>
      </c>
      <c r="H269" s="6"/>
      <c r="I269" s="6"/>
      <c r="J269" s="6"/>
      <c r="K269" s="6"/>
      <c r="L269" s="6" t="n">
        <v>1</v>
      </c>
      <c r="M269" s="6"/>
      <c r="N269" s="6" t="s">
        <v>1100</v>
      </c>
      <c r="O269" s="6" t="s">
        <v>147</v>
      </c>
    </row>
    <row r="270" customFormat="false" ht="15" hidden="false" customHeight="false" outlineLevel="0" collapsed="false">
      <c r="A270" s="6" t="n">
        <v>267</v>
      </c>
      <c r="B270" s="6" t="s">
        <v>1614</v>
      </c>
      <c r="C270" s="6" t="n">
        <v>2024</v>
      </c>
      <c r="D270" s="6" t="s">
        <v>1615</v>
      </c>
      <c r="E270" s="6" t="s">
        <v>1616</v>
      </c>
      <c r="F270" s="6" t="s">
        <v>146</v>
      </c>
      <c r="G270" s="6" t="s">
        <v>147</v>
      </c>
      <c r="H270" s="6"/>
      <c r="I270" s="6"/>
      <c r="J270" s="6" t="n">
        <v>1</v>
      </c>
      <c r="K270" s="6"/>
      <c r="L270" s="6"/>
      <c r="M270" s="6" t="n">
        <v>1</v>
      </c>
      <c r="N270" s="6" t="s">
        <v>1183</v>
      </c>
      <c r="O270" s="6" t="s">
        <v>147</v>
      </c>
    </row>
    <row r="271" customFormat="false" ht="15" hidden="false" customHeight="false" outlineLevel="0" collapsed="false">
      <c r="A271" s="6" t="n">
        <v>268</v>
      </c>
      <c r="B271" s="6" t="s">
        <v>1617</v>
      </c>
      <c r="C271" s="6" t="n">
        <v>2024</v>
      </c>
      <c r="D271" s="6" t="s">
        <v>1618</v>
      </c>
      <c r="E271" s="6" t="s">
        <v>1616</v>
      </c>
      <c r="F271" s="6" t="s">
        <v>33</v>
      </c>
      <c r="G271" s="6" t="s">
        <v>147</v>
      </c>
      <c r="H271" s="6"/>
      <c r="I271" s="6"/>
      <c r="J271" s="6"/>
      <c r="K271" s="6"/>
      <c r="L271" s="6"/>
      <c r="M271" s="6"/>
      <c r="N271" s="6" t="s">
        <v>1100</v>
      </c>
      <c r="O271" s="6" t="s">
        <v>147</v>
      </c>
    </row>
    <row r="272" customFormat="false" ht="15" hidden="false" customHeight="false" outlineLevel="0" collapsed="false">
      <c r="A272" s="6" t="n">
        <v>269</v>
      </c>
      <c r="B272" s="6" t="s">
        <v>1619</v>
      </c>
      <c r="C272" s="6" t="n">
        <v>2024</v>
      </c>
      <c r="D272" s="6" t="s">
        <v>1620</v>
      </c>
      <c r="E272" s="6" t="s">
        <v>231</v>
      </c>
      <c r="F272" s="6" t="s">
        <v>33</v>
      </c>
      <c r="G272" s="6" t="s">
        <v>147</v>
      </c>
      <c r="H272" s="6"/>
      <c r="I272" s="6" t="n">
        <v>1</v>
      </c>
      <c r="J272" s="6"/>
      <c r="K272" s="6"/>
      <c r="L272" s="6" t="n">
        <v>1</v>
      </c>
      <c r="M272" s="6"/>
      <c r="N272" s="6" t="s">
        <v>1100</v>
      </c>
      <c r="O272" s="6" t="s">
        <v>147</v>
      </c>
    </row>
    <row r="273" customFormat="false" ht="15" hidden="false" customHeight="false" outlineLevel="0" collapsed="false">
      <c r="A273" s="6" t="n">
        <v>270</v>
      </c>
      <c r="B273" s="6" t="s">
        <v>1621</v>
      </c>
      <c r="C273" s="6" t="n">
        <v>2024</v>
      </c>
      <c r="D273" s="6" t="s">
        <v>1622</v>
      </c>
      <c r="E273" s="6" t="s">
        <v>1397</v>
      </c>
      <c r="F273" s="6" t="s">
        <v>33</v>
      </c>
      <c r="G273" s="6" t="s">
        <v>146</v>
      </c>
      <c r="H273" s="6"/>
      <c r="I273" s="6" t="n">
        <v>1</v>
      </c>
      <c r="J273" s="6" t="n">
        <v>1</v>
      </c>
      <c r="K273" s="6"/>
      <c r="L273" s="6"/>
      <c r="M273" s="6" t="n">
        <v>1</v>
      </c>
      <c r="N273" s="6" t="s">
        <v>1183</v>
      </c>
      <c r="O273" s="6" t="s">
        <v>147</v>
      </c>
    </row>
    <row r="274" customFormat="false" ht="15" hidden="false" customHeight="false" outlineLevel="0" collapsed="false">
      <c r="A274" s="6" t="n">
        <v>271</v>
      </c>
      <c r="B274" s="6" t="s">
        <v>1623</v>
      </c>
      <c r="C274" s="6" t="n">
        <v>2024</v>
      </c>
      <c r="D274" s="6" t="s">
        <v>1624</v>
      </c>
      <c r="E274" s="6" t="s">
        <v>963</v>
      </c>
      <c r="F274" s="6" t="s">
        <v>146</v>
      </c>
      <c r="G274" s="6" t="s">
        <v>147</v>
      </c>
      <c r="H274" s="6"/>
      <c r="I274" s="6"/>
      <c r="J274" s="6"/>
      <c r="K274" s="6"/>
      <c r="L274" s="6" t="n">
        <v>1</v>
      </c>
      <c r="M274" s="6" t="n">
        <v>1</v>
      </c>
      <c r="N274" s="6" t="s">
        <v>1183</v>
      </c>
      <c r="O274" s="6" t="s">
        <v>147</v>
      </c>
    </row>
    <row r="275" customFormat="false" ht="15" hidden="false" customHeight="false" outlineLevel="0" collapsed="false">
      <c r="A275" s="6" t="n">
        <v>272</v>
      </c>
      <c r="B275" s="6" t="s">
        <v>1625</v>
      </c>
      <c r="C275" s="6" t="n">
        <v>2024</v>
      </c>
      <c r="D275" s="6" t="s">
        <v>1626</v>
      </c>
      <c r="E275" s="6" t="s">
        <v>1627</v>
      </c>
      <c r="F275" s="6" t="s">
        <v>146</v>
      </c>
      <c r="G275" s="6" t="s">
        <v>147</v>
      </c>
      <c r="H275" s="6"/>
      <c r="I275" s="6"/>
      <c r="J275" s="6"/>
      <c r="K275" s="6"/>
      <c r="L275" s="6" t="n">
        <v>1</v>
      </c>
      <c r="M275" s="6" t="n">
        <v>1</v>
      </c>
      <c r="N275" s="6" t="s">
        <v>1183</v>
      </c>
      <c r="O275" s="6" t="s">
        <v>147</v>
      </c>
    </row>
    <row r="276" customFormat="false" ht="15" hidden="false" customHeight="false" outlineLevel="0" collapsed="false">
      <c r="A276" s="6" t="n">
        <v>273</v>
      </c>
      <c r="B276" s="6" t="s">
        <v>538</v>
      </c>
      <c r="C276" s="6" t="n">
        <v>2024</v>
      </c>
      <c r="D276" s="6" t="s">
        <v>541</v>
      </c>
      <c r="E276" s="6" t="s">
        <v>542</v>
      </c>
      <c r="F276" s="6" t="s">
        <v>146</v>
      </c>
      <c r="G276" s="6" t="s">
        <v>146</v>
      </c>
      <c r="H276" s="6" t="n">
        <v>1</v>
      </c>
      <c r="I276" s="6" t="n">
        <v>1</v>
      </c>
      <c r="J276" s="6"/>
      <c r="K276" s="6"/>
      <c r="L276" s="6" t="n">
        <v>1</v>
      </c>
      <c r="M276" s="6"/>
      <c r="N276" s="6" t="s">
        <v>1100</v>
      </c>
      <c r="O276" s="6" t="s">
        <v>146</v>
      </c>
    </row>
    <row r="277" customFormat="false" ht="15" hidden="false" customHeight="false" outlineLevel="0" collapsed="false">
      <c r="A277" s="6" t="n">
        <v>274</v>
      </c>
      <c r="B277" s="6" t="s">
        <v>1008</v>
      </c>
      <c r="C277" s="6" t="n">
        <v>2024</v>
      </c>
      <c r="D277" s="6" t="s">
        <v>1011</v>
      </c>
      <c r="E277" s="6" t="s">
        <v>660</v>
      </c>
      <c r="F277" s="6" t="s">
        <v>146</v>
      </c>
      <c r="G277" s="6" t="s">
        <v>147</v>
      </c>
      <c r="H277" s="6"/>
      <c r="I277" s="6"/>
      <c r="J277" s="6" t="n">
        <v>1</v>
      </c>
      <c r="K277" s="6" t="n">
        <v>1</v>
      </c>
      <c r="L277" s="6" t="n">
        <v>1</v>
      </c>
      <c r="M277" s="6" t="n">
        <v>1</v>
      </c>
      <c r="N277" s="6" t="s">
        <v>1187</v>
      </c>
      <c r="O277" s="6" t="s">
        <v>146</v>
      </c>
    </row>
    <row r="278" customFormat="false" ht="15" hidden="false" customHeight="false" outlineLevel="0" collapsed="false">
      <c r="A278" s="6" t="n">
        <v>275</v>
      </c>
      <c r="B278" s="6" t="s">
        <v>769</v>
      </c>
      <c r="C278" s="6" t="n">
        <v>2024</v>
      </c>
      <c r="D278" s="6" t="s">
        <v>772</v>
      </c>
      <c r="E278" s="6" t="s">
        <v>773</v>
      </c>
      <c r="F278" s="6" t="s">
        <v>146</v>
      </c>
      <c r="G278" s="6" t="s">
        <v>146</v>
      </c>
      <c r="H278" s="6" t="n">
        <v>1</v>
      </c>
      <c r="I278" s="6" t="n">
        <v>1</v>
      </c>
      <c r="J278" s="6"/>
      <c r="K278" s="6" t="n">
        <v>1</v>
      </c>
      <c r="L278" s="6" t="n">
        <v>1</v>
      </c>
      <c r="M278" s="6"/>
      <c r="N278" s="6" t="s">
        <v>1100</v>
      </c>
      <c r="O278" s="6" t="s">
        <v>146</v>
      </c>
    </row>
    <row r="279" customFormat="false" ht="15" hidden="false" customHeight="false" outlineLevel="0" collapsed="false">
      <c r="A279" s="6" t="n">
        <v>276</v>
      </c>
      <c r="B279" s="6" t="s">
        <v>1628</v>
      </c>
      <c r="C279" s="6" t="n">
        <v>2024</v>
      </c>
      <c r="D279" s="6" t="s">
        <v>1629</v>
      </c>
      <c r="E279" s="6" t="s">
        <v>1630</v>
      </c>
      <c r="F279" s="6" t="s">
        <v>33</v>
      </c>
      <c r="G279" s="6" t="s">
        <v>147</v>
      </c>
      <c r="H279" s="6"/>
      <c r="I279" s="6"/>
      <c r="J279" s="6"/>
      <c r="K279" s="6"/>
      <c r="L279" s="6" t="n">
        <v>1</v>
      </c>
      <c r="M279" s="6"/>
      <c r="N279" s="6" t="s">
        <v>1100</v>
      </c>
      <c r="O279" s="6" t="s">
        <v>147</v>
      </c>
    </row>
    <row r="280" customFormat="false" ht="15" hidden="false" customHeight="false" outlineLevel="0" collapsed="false">
      <c r="A280" s="6" t="n">
        <v>277</v>
      </c>
      <c r="B280" s="6" t="s">
        <v>1631</v>
      </c>
      <c r="C280" s="6" t="n">
        <v>2024</v>
      </c>
      <c r="D280" s="6" t="s">
        <v>1632</v>
      </c>
      <c r="E280" s="6" t="s">
        <v>1633</v>
      </c>
      <c r="F280" s="6" t="s">
        <v>146</v>
      </c>
      <c r="G280" s="6" t="s">
        <v>147</v>
      </c>
      <c r="H280" s="6"/>
      <c r="I280" s="6"/>
      <c r="J280" s="6" t="n">
        <v>1</v>
      </c>
      <c r="K280" s="6"/>
      <c r="L280" s="6"/>
      <c r="M280" s="6" t="n">
        <v>1</v>
      </c>
      <c r="N280" s="6" t="s">
        <v>1183</v>
      </c>
      <c r="O280" s="6" t="s">
        <v>147</v>
      </c>
    </row>
    <row r="281" customFormat="false" ht="15" hidden="false" customHeight="false" outlineLevel="0" collapsed="false">
      <c r="A281" s="6" t="n">
        <v>278</v>
      </c>
      <c r="B281" s="6" t="s">
        <v>606</v>
      </c>
      <c r="C281" s="6" t="n">
        <v>2024</v>
      </c>
      <c r="D281" s="6" t="s">
        <v>264</v>
      </c>
      <c r="E281" s="6" t="s">
        <v>263</v>
      </c>
      <c r="F281" s="6" t="s">
        <v>146</v>
      </c>
      <c r="G281" s="6" t="s">
        <v>146</v>
      </c>
      <c r="H281" s="6" t="n">
        <v>1</v>
      </c>
      <c r="I281" s="6" t="n">
        <v>1</v>
      </c>
      <c r="J281" s="6"/>
      <c r="K281" s="6" t="n">
        <v>1</v>
      </c>
      <c r="L281" s="6" t="n">
        <v>1</v>
      </c>
      <c r="M281" s="6"/>
      <c r="N281" s="6" t="s">
        <v>1100</v>
      </c>
      <c r="O281" s="6" t="s">
        <v>146</v>
      </c>
    </row>
    <row r="282" customFormat="false" ht="15" hidden="false" customHeight="false" outlineLevel="0" collapsed="false">
      <c r="A282" s="6" t="n">
        <v>279</v>
      </c>
      <c r="B282" s="6" t="s">
        <v>615</v>
      </c>
      <c r="C282" s="6" t="n">
        <v>2024</v>
      </c>
      <c r="D282" s="6" t="s">
        <v>618</v>
      </c>
      <c r="E282" s="6" t="s">
        <v>314</v>
      </c>
      <c r="F282" s="6" t="s">
        <v>146</v>
      </c>
      <c r="G282" s="6" t="s">
        <v>146</v>
      </c>
      <c r="H282" s="6" t="n">
        <v>1</v>
      </c>
      <c r="I282" s="6" t="n">
        <v>1</v>
      </c>
      <c r="J282" s="6" t="n">
        <v>1</v>
      </c>
      <c r="K282" s="6" t="n">
        <v>1</v>
      </c>
      <c r="L282" s="6" t="n">
        <v>1</v>
      </c>
      <c r="M282" s="6"/>
      <c r="N282" s="6" t="s">
        <v>1100</v>
      </c>
      <c r="O282" s="6" t="s">
        <v>146</v>
      </c>
    </row>
    <row r="283" customFormat="false" ht="15" hidden="false" customHeight="false" outlineLevel="0" collapsed="false">
      <c r="A283" s="6" t="n">
        <v>280</v>
      </c>
      <c r="B283" s="6" t="s">
        <v>1634</v>
      </c>
      <c r="C283" s="6" t="n">
        <v>2024</v>
      </c>
      <c r="D283" s="6" t="s">
        <v>1635</v>
      </c>
      <c r="E283" s="6" t="s">
        <v>1506</v>
      </c>
      <c r="F283" s="6" t="s">
        <v>33</v>
      </c>
      <c r="G283" s="6" t="s">
        <v>147</v>
      </c>
      <c r="H283" s="6"/>
      <c r="I283" s="6"/>
      <c r="J283" s="6" t="n">
        <v>1</v>
      </c>
      <c r="K283" s="6"/>
      <c r="L283" s="6"/>
      <c r="M283" s="6"/>
      <c r="N283" s="6" t="s">
        <v>1100</v>
      </c>
      <c r="O283" s="6" t="s">
        <v>147</v>
      </c>
    </row>
    <row r="284" customFormat="false" ht="15" hidden="false" customHeight="false" outlineLevel="0" collapsed="false">
      <c r="A284" s="6" t="n">
        <v>281</v>
      </c>
      <c r="B284" s="6" t="s">
        <v>1636</v>
      </c>
      <c r="C284" s="6" t="n">
        <v>2024</v>
      </c>
      <c r="D284" s="6" t="s">
        <v>1637</v>
      </c>
      <c r="E284" s="6" t="s">
        <v>785</v>
      </c>
      <c r="F284" s="6" t="s">
        <v>33</v>
      </c>
      <c r="G284" s="6" t="s">
        <v>147</v>
      </c>
      <c r="H284" s="6"/>
      <c r="I284" s="6" t="n">
        <v>1</v>
      </c>
      <c r="J284" s="6"/>
      <c r="K284" s="6"/>
      <c r="L284" s="6" t="n">
        <v>1</v>
      </c>
      <c r="M284" s="6"/>
      <c r="N284" s="6" t="s">
        <v>1100</v>
      </c>
      <c r="O284" s="6" t="s">
        <v>147</v>
      </c>
    </row>
    <row r="285" customFormat="false" ht="15" hidden="false" customHeight="false" outlineLevel="0" collapsed="false">
      <c r="A285" s="6" t="n">
        <v>282</v>
      </c>
      <c r="B285" s="6" t="s">
        <v>1638</v>
      </c>
      <c r="C285" s="6" t="n">
        <v>2024</v>
      </c>
      <c r="D285" s="6" t="s">
        <v>1639</v>
      </c>
      <c r="E285" s="6" t="s">
        <v>1218</v>
      </c>
      <c r="F285" s="6" t="s">
        <v>33</v>
      </c>
      <c r="G285" s="6" t="s">
        <v>147</v>
      </c>
      <c r="H285" s="6"/>
      <c r="I285" s="6"/>
      <c r="J285" s="6" t="n">
        <v>1</v>
      </c>
      <c r="K285" s="6"/>
      <c r="L285" s="6"/>
      <c r="M285" s="6"/>
      <c r="N285" s="6" t="s">
        <v>1100</v>
      </c>
      <c r="O285" s="6" t="s">
        <v>147</v>
      </c>
    </row>
    <row r="286" customFormat="false" ht="15" hidden="false" customHeight="false" outlineLevel="0" collapsed="false">
      <c r="A286" s="6" t="n">
        <v>283</v>
      </c>
      <c r="B286" s="6" t="s">
        <v>781</v>
      </c>
      <c r="C286" s="6" t="n">
        <v>2024</v>
      </c>
      <c r="D286" s="6" t="s">
        <v>784</v>
      </c>
      <c r="E286" s="6" t="s">
        <v>785</v>
      </c>
      <c r="F286" s="6" t="s">
        <v>33</v>
      </c>
      <c r="G286" s="6" t="s">
        <v>146</v>
      </c>
      <c r="H286" s="6"/>
      <c r="I286" s="6" t="n">
        <v>1</v>
      </c>
      <c r="J286" s="6" t="n">
        <v>1</v>
      </c>
      <c r="K286" s="6"/>
      <c r="L286" s="6" t="n">
        <v>1</v>
      </c>
      <c r="M286" s="6" t="n">
        <v>1</v>
      </c>
      <c r="N286" s="6" t="s">
        <v>1101</v>
      </c>
      <c r="O286" s="6" t="s">
        <v>146</v>
      </c>
    </row>
    <row r="287" customFormat="false" ht="15" hidden="false" customHeight="false" outlineLevel="0" collapsed="false">
      <c r="A287" s="6" t="n">
        <v>284</v>
      </c>
      <c r="B287" s="6" t="s">
        <v>1640</v>
      </c>
      <c r="C287" s="6" t="n">
        <v>2024</v>
      </c>
      <c r="D287" s="6" t="s">
        <v>1641</v>
      </c>
      <c r="E287" s="6" t="s">
        <v>1642</v>
      </c>
      <c r="F287" s="6" t="s">
        <v>146</v>
      </c>
      <c r="G287" s="6" t="s">
        <v>147</v>
      </c>
      <c r="H287" s="6"/>
      <c r="I287" s="6"/>
      <c r="J287" s="6"/>
      <c r="K287" s="6"/>
      <c r="L287" s="6" t="n">
        <v>1</v>
      </c>
      <c r="M287" s="6" t="n">
        <v>1</v>
      </c>
      <c r="N287" s="6" t="s">
        <v>1183</v>
      </c>
      <c r="O287" s="6" t="s">
        <v>147</v>
      </c>
    </row>
    <row r="288" customFormat="false" ht="15" hidden="false" customHeight="false" outlineLevel="0" collapsed="false">
      <c r="A288" s="6" t="n">
        <v>285</v>
      </c>
      <c r="B288" s="6" t="s">
        <v>1643</v>
      </c>
      <c r="C288" s="6" t="n">
        <v>2024</v>
      </c>
      <c r="D288" s="6" t="s">
        <v>1644</v>
      </c>
      <c r="E288" s="6" t="s">
        <v>1645</v>
      </c>
      <c r="F288" s="6" t="s">
        <v>33</v>
      </c>
      <c r="G288" s="6" t="s">
        <v>147</v>
      </c>
      <c r="H288" s="6"/>
      <c r="I288" s="6"/>
      <c r="J288" s="6"/>
      <c r="K288" s="6"/>
      <c r="L288" s="6" t="n">
        <v>1</v>
      </c>
      <c r="M288" s="6"/>
      <c r="N288" s="6" t="s">
        <v>1100</v>
      </c>
      <c r="O288" s="6" t="s">
        <v>147</v>
      </c>
    </row>
    <row r="289" customFormat="false" ht="15" hidden="false" customHeight="false" outlineLevel="0" collapsed="false">
      <c r="A289" s="6" t="n">
        <v>286</v>
      </c>
      <c r="B289" s="6" t="s">
        <v>1646</v>
      </c>
      <c r="C289" s="6" t="n">
        <v>2024</v>
      </c>
      <c r="D289" s="6" t="s">
        <v>1647</v>
      </c>
      <c r="E289" s="6" t="s">
        <v>1648</v>
      </c>
      <c r="F289" s="6" t="s">
        <v>33</v>
      </c>
      <c r="G289" s="6" t="s">
        <v>147</v>
      </c>
      <c r="H289" s="6"/>
      <c r="I289" s="6"/>
      <c r="J289" s="6"/>
      <c r="K289" s="6"/>
      <c r="L289" s="6" t="n">
        <v>1</v>
      </c>
      <c r="M289" s="6"/>
      <c r="N289" s="6" t="s">
        <v>1100</v>
      </c>
      <c r="O289" s="6" t="s">
        <v>147</v>
      </c>
    </row>
    <row r="290" customFormat="false" ht="15" hidden="false" customHeight="false" outlineLevel="0" collapsed="false">
      <c r="A290" s="6" t="n">
        <v>287</v>
      </c>
      <c r="B290" s="6" t="s">
        <v>1649</v>
      </c>
      <c r="C290" s="6" t="n">
        <v>2024</v>
      </c>
      <c r="D290" s="6" t="s">
        <v>1650</v>
      </c>
      <c r="E290" s="6" t="s">
        <v>1651</v>
      </c>
      <c r="F290" s="6" t="s">
        <v>33</v>
      </c>
      <c r="G290" s="6" t="s">
        <v>147</v>
      </c>
      <c r="H290" s="6"/>
      <c r="I290" s="6"/>
      <c r="J290" s="6"/>
      <c r="K290" s="6"/>
      <c r="L290" s="6" t="n">
        <v>1</v>
      </c>
      <c r="M290" s="6"/>
      <c r="N290" s="6" t="s">
        <v>1100</v>
      </c>
      <c r="O290" s="6" t="s">
        <v>147</v>
      </c>
    </row>
    <row r="291" customFormat="false" ht="15" hidden="false" customHeight="false" outlineLevel="0" collapsed="false">
      <c r="A291" s="6" t="n">
        <v>288</v>
      </c>
      <c r="B291" s="6" t="s">
        <v>1652</v>
      </c>
      <c r="C291" s="6" t="n">
        <v>2024</v>
      </c>
      <c r="D291" s="6" t="s">
        <v>1653</v>
      </c>
      <c r="E291" s="6" t="s">
        <v>1654</v>
      </c>
      <c r="F291" s="6" t="s">
        <v>33</v>
      </c>
      <c r="G291" s="6" t="s">
        <v>147</v>
      </c>
      <c r="H291" s="6"/>
      <c r="I291" s="6"/>
      <c r="J291" s="6"/>
      <c r="K291" s="6"/>
      <c r="L291" s="6"/>
      <c r="M291" s="6"/>
      <c r="N291" s="6" t="s">
        <v>1100</v>
      </c>
      <c r="O291" s="6" t="s">
        <v>147</v>
      </c>
    </row>
    <row r="292" customFormat="false" ht="15" hidden="false" customHeight="false" outlineLevel="0" collapsed="false">
      <c r="A292" s="6" t="n">
        <v>289</v>
      </c>
      <c r="B292" s="6" t="s">
        <v>1655</v>
      </c>
      <c r="C292" s="6" t="n">
        <v>2024</v>
      </c>
      <c r="D292" s="6" t="s">
        <v>1656</v>
      </c>
      <c r="E292" s="6" t="s">
        <v>1657</v>
      </c>
      <c r="F292" s="6" t="s">
        <v>33</v>
      </c>
      <c r="G292" s="6" t="s">
        <v>147</v>
      </c>
      <c r="H292" s="6"/>
      <c r="I292" s="6"/>
      <c r="J292" s="6"/>
      <c r="K292" s="6"/>
      <c r="L292" s="6" t="n">
        <v>1</v>
      </c>
      <c r="M292" s="6"/>
      <c r="N292" s="6" t="s">
        <v>1100</v>
      </c>
      <c r="O292" s="6" t="s">
        <v>147</v>
      </c>
    </row>
    <row r="293" customFormat="false" ht="15" hidden="false" customHeight="false" outlineLevel="0" collapsed="false">
      <c r="A293" s="6" t="n">
        <v>290</v>
      </c>
      <c r="B293" s="6" t="s">
        <v>1658</v>
      </c>
      <c r="C293" s="6" t="n">
        <v>2024</v>
      </c>
      <c r="D293" s="6" t="s">
        <v>1659</v>
      </c>
      <c r="E293" s="6" t="s">
        <v>1660</v>
      </c>
      <c r="F293" s="6" t="s">
        <v>33</v>
      </c>
      <c r="G293" s="6" t="s">
        <v>147</v>
      </c>
      <c r="H293" s="6"/>
      <c r="I293" s="6"/>
      <c r="J293" s="6" t="n">
        <v>1</v>
      </c>
      <c r="K293" s="6"/>
      <c r="L293" s="6"/>
      <c r="M293" s="6"/>
      <c r="N293" s="6" t="s">
        <v>1100</v>
      </c>
      <c r="O293" s="6" t="s">
        <v>147</v>
      </c>
    </row>
    <row r="294" customFormat="false" ht="15" hidden="false" customHeight="false" outlineLevel="0" collapsed="false">
      <c r="A294" s="6" t="n">
        <v>291</v>
      </c>
      <c r="B294" s="6" t="s">
        <v>1661</v>
      </c>
      <c r="C294" s="6" t="n">
        <v>2024</v>
      </c>
      <c r="D294" s="6" t="s">
        <v>1662</v>
      </c>
      <c r="E294" s="6" t="s">
        <v>1663</v>
      </c>
      <c r="F294" s="6" t="s">
        <v>33</v>
      </c>
      <c r="G294" s="6" t="s">
        <v>147</v>
      </c>
      <c r="H294" s="6"/>
      <c r="I294" s="6"/>
      <c r="J294" s="6"/>
      <c r="K294" s="6"/>
      <c r="L294" s="6" t="n">
        <v>1</v>
      </c>
      <c r="M294" s="6"/>
      <c r="N294" s="6" t="s">
        <v>1100</v>
      </c>
      <c r="O294" s="6" t="s">
        <v>147</v>
      </c>
    </row>
    <row r="295" customFormat="false" ht="15" hidden="false" customHeight="false" outlineLevel="0" collapsed="false">
      <c r="A295" s="6" t="n">
        <v>292</v>
      </c>
      <c r="B295" s="6" t="s">
        <v>1664</v>
      </c>
      <c r="C295" s="6" t="n">
        <v>2024</v>
      </c>
      <c r="D295" s="6" t="s">
        <v>1665</v>
      </c>
      <c r="E295" s="6" t="s">
        <v>1666</v>
      </c>
      <c r="F295" s="6" t="s">
        <v>33</v>
      </c>
      <c r="G295" s="6" t="s">
        <v>147</v>
      </c>
      <c r="H295" s="6"/>
      <c r="I295" s="6"/>
      <c r="J295" s="6" t="n">
        <v>1</v>
      </c>
      <c r="K295" s="6"/>
      <c r="L295" s="6"/>
      <c r="M295" s="6"/>
      <c r="N295" s="6" t="s">
        <v>1100</v>
      </c>
      <c r="O295" s="6" t="s">
        <v>147</v>
      </c>
    </row>
    <row r="296" customFormat="false" ht="15" hidden="false" customHeight="false" outlineLevel="0" collapsed="false">
      <c r="A296" s="6" t="n">
        <v>293</v>
      </c>
      <c r="B296" s="6" t="s">
        <v>1667</v>
      </c>
      <c r="C296" s="6" t="n">
        <v>2024</v>
      </c>
      <c r="D296" s="6" t="s">
        <v>1668</v>
      </c>
      <c r="E296" s="6" t="s">
        <v>946</v>
      </c>
      <c r="F296" s="6" t="s">
        <v>33</v>
      </c>
      <c r="G296" s="6" t="s">
        <v>147</v>
      </c>
      <c r="H296" s="6"/>
      <c r="I296" s="6"/>
      <c r="J296" s="6"/>
      <c r="K296" s="6"/>
      <c r="L296" s="6"/>
      <c r="M296" s="6"/>
      <c r="N296" s="6" t="s">
        <v>1100</v>
      </c>
      <c r="O296" s="6" t="s">
        <v>147</v>
      </c>
    </row>
    <row r="297" customFormat="false" ht="15" hidden="false" customHeight="false" outlineLevel="0" collapsed="false">
      <c r="A297" s="6" t="n">
        <v>294</v>
      </c>
      <c r="B297" s="6" t="s">
        <v>1669</v>
      </c>
      <c r="C297" s="6" t="n">
        <v>2024</v>
      </c>
      <c r="D297" s="6" t="s">
        <v>1670</v>
      </c>
      <c r="E297" s="6" t="s">
        <v>1671</v>
      </c>
      <c r="F297" s="6" t="s">
        <v>33</v>
      </c>
      <c r="G297" s="6" t="s">
        <v>147</v>
      </c>
      <c r="H297" s="6"/>
      <c r="I297" s="6"/>
      <c r="J297" s="6"/>
      <c r="K297" s="6"/>
      <c r="L297" s="6" t="n">
        <v>1</v>
      </c>
      <c r="M297" s="6"/>
      <c r="N297" s="6" t="s">
        <v>1100</v>
      </c>
      <c r="O297" s="6" t="s">
        <v>147</v>
      </c>
    </row>
    <row r="298" customFormat="false" ht="15" hidden="false" customHeight="false" outlineLevel="0" collapsed="false">
      <c r="A298" s="6" t="n">
        <v>295</v>
      </c>
      <c r="B298" s="6" t="s">
        <v>1672</v>
      </c>
      <c r="C298" s="6" t="n">
        <v>2024</v>
      </c>
      <c r="D298" s="6" t="s">
        <v>1673</v>
      </c>
      <c r="E298" s="6" t="s">
        <v>1444</v>
      </c>
      <c r="F298" s="6" t="s">
        <v>33</v>
      </c>
      <c r="G298" s="6" t="s">
        <v>147</v>
      </c>
      <c r="H298" s="6"/>
      <c r="I298" s="6"/>
      <c r="J298" s="6"/>
      <c r="K298" s="6"/>
      <c r="L298" s="6" t="n">
        <v>1</v>
      </c>
      <c r="M298" s="6"/>
      <c r="N298" s="6" t="s">
        <v>1100</v>
      </c>
      <c r="O298" s="6" t="s">
        <v>147</v>
      </c>
    </row>
    <row r="299" customFormat="false" ht="15" hidden="false" customHeight="false" outlineLevel="0" collapsed="false">
      <c r="A299" s="6" t="n">
        <v>296</v>
      </c>
      <c r="B299" s="6" t="s">
        <v>668</v>
      </c>
      <c r="C299" s="6" t="n">
        <v>2023</v>
      </c>
      <c r="D299" s="6" t="s">
        <v>236</v>
      </c>
      <c r="E299" s="6" t="s">
        <v>235</v>
      </c>
      <c r="F299" s="6" t="s">
        <v>146</v>
      </c>
      <c r="G299" s="6" t="s">
        <v>146</v>
      </c>
      <c r="H299" s="6" t="n">
        <v>1</v>
      </c>
      <c r="I299" s="6" t="n">
        <v>1</v>
      </c>
      <c r="J299" s="6"/>
      <c r="K299" s="6" t="n">
        <v>1</v>
      </c>
      <c r="L299" s="6" t="n">
        <v>1</v>
      </c>
      <c r="M299" s="6"/>
      <c r="N299" s="6" t="s">
        <v>1100</v>
      </c>
      <c r="O299" s="6" t="s">
        <v>146</v>
      </c>
    </row>
    <row r="300" customFormat="false" ht="15" hidden="false" customHeight="false" outlineLevel="0" collapsed="false">
      <c r="A300" s="6" t="n">
        <v>297</v>
      </c>
      <c r="B300" s="6" t="s">
        <v>1674</v>
      </c>
      <c r="C300" s="6" t="n">
        <v>2023</v>
      </c>
      <c r="D300" s="6" t="s">
        <v>1675</v>
      </c>
      <c r="E300" s="6" t="s">
        <v>1676</v>
      </c>
      <c r="F300" s="6" t="s">
        <v>33</v>
      </c>
      <c r="G300" s="6" t="s">
        <v>147</v>
      </c>
      <c r="H300" s="6"/>
      <c r="I300" s="6"/>
      <c r="J300" s="6"/>
      <c r="K300" s="6"/>
      <c r="L300" s="6" t="n">
        <v>1</v>
      </c>
      <c r="M300" s="6"/>
      <c r="N300" s="6" t="s">
        <v>1100</v>
      </c>
      <c r="O300" s="6" t="s">
        <v>147</v>
      </c>
    </row>
    <row r="301" customFormat="false" ht="15" hidden="false" customHeight="false" outlineLevel="0" collapsed="false">
      <c r="A301" s="6" t="n">
        <v>298</v>
      </c>
      <c r="B301" s="6" t="s">
        <v>1677</v>
      </c>
      <c r="C301" s="6" t="n">
        <v>2023</v>
      </c>
      <c r="D301" s="6" t="s">
        <v>1678</v>
      </c>
      <c r="E301" s="6" t="s">
        <v>1679</v>
      </c>
      <c r="F301" s="6" t="s">
        <v>33</v>
      </c>
      <c r="G301" s="6" t="s">
        <v>147</v>
      </c>
      <c r="H301" s="6"/>
      <c r="I301" s="6"/>
      <c r="J301" s="6"/>
      <c r="K301" s="6"/>
      <c r="L301" s="6" t="n">
        <v>1</v>
      </c>
      <c r="M301" s="6"/>
      <c r="N301" s="6" t="s">
        <v>1100</v>
      </c>
      <c r="O301" s="6" t="s">
        <v>147</v>
      </c>
    </row>
    <row r="302" customFormat="false" ht="15" hidden="false" customHeight="false" outlineLevel="0" collapsed="false">
      <c r="A302" s="6" t="n">
        <v>299</v>
      </c>
      <c r="B302" s="6" t="s">
        <v>1680</v>
      </c>
      <c r="C302" s="6" t="n">
        <v>2023</v>
      </c>
      <c r="D302" s="6" t="s">
        <v>1681</v>
      </c>
      <c r="E302" s="6" t="s">
        <v>1682</v>
      </c>
      <c r="F302" s="6" t="s">
        <v>33</v>
      </c>
      <c r="G302" s="6" t="s">
        <v>147</v>
      </c>
      <c r="H302" s="6"/>
      <c r="I302" s="6"/>
      <c r="J302" s="6"/>
      <c r="K302" s="6"/>
      <c r="L302" s="6" t="n">
        <v>1</v>
      </c>
      <c r="M302" s="6"/>
      <c r="N302" s="6" t="s">
        <v>1100</v>
      </c>
      <c r="O302" s="6" t="s">
        <v>147</v>
      </c>
    </row>
    <row r="303" customFormat="false" ht="15" hidden="false" customHeight="false" outlineLevel="0" collapsed="false">
      <c r="A303" s="6" t="n">
        <v>300</v>
      </c>
      <c r="B303" s="6" t="s">
        <v>1683</v>
      </c>
      <c r="C303" s="6" t="n">
        <v>2023</v>
      </c>
      <c r="D303" s="6" t="s">
        <v>1684</v>
      </c>
      <c r="E303" s="6" t="s">
        <v>1685</v>
      </c>
      <c r="F303" s="6" t="s">
        <v>34</v>
      </c>
      <c r="G303" s="6" t="s">
        <v>147</v>
      </c>
      <c r="H303" s="6"/>
      <c r="I303" s="6"/>
      <c r="J303" s="6"/>
      <c r="K303" s="6"/>
      <c r="L303" s="6" t="n">
        <v>1</v>
      </c>
      <c r="M303" s="6"/>
      <c r="N303" s="6" t="s">
        <v>1165</v>
      </c>
      <c r="O303" s="6" t="s">
        <v>147</v>
      </c>
    </row>
    <row r="304" customFormat="false" ht="15" hidden="false" customHeight="false" outlineLevel="0" collapsed="false">
      <c r="A304" s="6" t="n">
        <v>301</v>
      </c>
      <c r="B304" s="6" t="s">
        <v>1686</v>
      </c>
      <c r="C304" s="6" t="n">
        <v>2023</v>
      </c>
      <c r="D304" s="6" t="s">
        <v>1687</v>
      </c>
      <c r="E304" s="6" t="s">
        <v>929</v>
      </c>
      <c r="F304" s="6" t="s">
        <v>33</v>
      </c>
      <c r="G304" s="6" t="s">
        <v>147</v>
      </c>
      <c r="H304" s="6"/>
      <c r="I304" s="6"/>
      <c r="J304" s="6"/>
      <c r="K304" s="6"/>
      <c r="L304" s="6" t="n">
        <v>1</v>
      </c>
      <c r="M304" s="6"/>
      <c r="N304" s="6" t="s">
        <v>1100</v>
      </c>
      <c r="O304" s="6" t="s">
        <v>147</v>
      </c>
    </row>
    <row r="305" customFormat="false" ht="15" hidden="false" customHeight="false" outlineLevel="0" collapsed="false">
      <c r="A305" s="6" t="n">
        <v>302</v>
      </c>
      <c r="B305" s="6" t="s">
        <v>363</v>
      </c>
      <c r="C305" s="6" t="n">
        <v>2023</v>
      </c>
      <c r="D305" s="6" t="s">
        <v>366</v>
      </c>
      <c r="E305" s="6" t="s">
        <v>367</v>
      </c>
      <c r="F305" s="6" t="s">
        <v>146</v>
      </c>
      <c r="G305" s="6" t="s">
        <v>146</v>
      </c>
      <c r="H305" s="6" t="n">
        <v>1</v>
      </c>
      <c r="I305" s="6"/>
      <c r="J305" s="6" t="n">
        <v>1</v>
      </c>
      <c r="K305" s="6" t="n">
        <v>1</v>
      </c>
      <c r="L305" s="6" t="n">
        <v>1</v>
      </c>
      <c r="M305" s="6"/>
      <c r="N305" s="6" t="s">
        <v>1100</v>
      </c>
      <c r="O305" s="6" t="s">
        <v>146</v>
      </c>
    </row>
    <row r="306" customFormat="false" ht="15" hidden="false" customHeight="false" outlineLevel="0" collapsed="false">
      <c r="A306" s="6" t="n">
        <v>303</v>
      </c>
      <c r="B306" s="6" t="s">
        <v>1688</v>
      </c>
      <c r="C306" s="6" t="n">
        <v>2023</v>
      </c>
      <c r="D306" s="6" t="s">
        <v>1689</v>
      </c>
      <c r="E306" s="6" t="s">
        <v>387</v>
      </c>
      <c r="F306" s="6" t="s">
        <v>33</v>
      </c>
      <c r="G306" s="6" t="s">
        <v>147</v>
      </c>
      <c r="H306" s="6"/>
      <c r="I306" s="6" t="n">
        <v>1</v>
      </c>
      <c r="J306" s="6"/>
      <c r="K306" s="6"/>
      <c r="L306" s="6" t="n">
        <v>1</v>
      </c>
      <c r="M306" s="6"/>
      <c r="N306" s="6" t="s">
        <v>1100</v>
      </c>
      <c r="O306" s="6" t="s">
        <v>147</v>
      </c>
    </row>
    <row r="307" customFormat="false" ht="15" hidden="false" customHeight="false" outlineLevel="0" collapsed="false">
      <c r="A307" s="6" t="n">
        <v>304</v>
      </c>
      <c r="B307" s="6" t="s">
        <v>1690</v>
      </c>
      <c r="C307" s="6" t="n">
        <v>2023</v>
      </c>
      <c r="D307" s="6" t="s">
        <v>1691</v>
      </c>
      <c r="E307" s="6" t="s">
        <v>1692</v>
      </c>
      <c r="F307" s="6" t="s">
        <v>33</v>
      </c>
      <c r="G307" s="6" t="s">
        <v>147</v>
      </c>
      <c r="H307" s="6"/>
      <c r="I307" s="6"/>
      <c r="J307" s="6" t="n">
        <v>1</v>
      </c>
      <c r="K307" s="6"/>
      <c r="L307" s="6" t="n">
        <v>1</v>
      </c>
      <c r="M307" s="6"/>
      <c r="N307" s="6" t="s">
        <v>1100</v>
      </c>
      <c r="O307" s="6" t="s">
        <v>147</v>
      </c>
    </row>
    <row r="308" customFormat="false" ht="15" hidden="false" customHeight="false" outlineLevel="0" collapsed="false">
      <c r="A308" s="6" t="n">
        <v>305</v>
      </c>
      <c r="B308" s="6" t="s">
        <v>816</v>
      </c>
      <c r="C308" s="6" t="n">
        <v>2023</v>
      </c>
      <c r="D308" s="6" t="s">
        <v>819</v>
      </c>
      <c r="E308" s="6" t="s">
        <v>820</v>
      </c>
      <c r="F308" s="6" t="s">
        <v>146</v>
      </c>
      <c r="G308" s="6" t="s">
        <v>147</v>
      </c>
      <c r="H308" s="6"/>
      <c r="I308" s="6"/>
      <c r="J308" s="6"/>
      <c r="K308" s="6" t="n">
        <v>1</v>
      </c>
      <c r="L308" s="6" t="n">
        <v>1</v>
      </c>
      <c r="M308" s="6" t="n">
        <v>1</v>
      </c>
      <c r="N308" s="6" t="s">
        <v>1187</v>
      </c>
      <c r="O308" s="6" t="s">
        <v>146</v>
      </c>
    </row>
    <row r="309" customFormat="false" ht="15" hidden="false" customHeight="false" outlineLevel="0" collapsed="false">
      <c r="A309" s="6" t="n">
        <v>306</v>
      </c>
      <c r="B309" s="6" t="s">
        <v>1693</v>
      </c>
      <c r="C309" s="6" t="n">
        <v>2023</v>
      </c>
      <c r="D309" s="6" t="s">
        <v>1694</v>
      </c>
      <c r="E309" s="6" t="s">
        <v>1695</v>
      </c>
      <c r="F309" s="6" t="s">
        <v>33</v>
      </c>
      <c r="G309" s="6" t="s">
        <v>147</v>
      </c>
      <c r="H309" s="6"/>
      <c r="I309" s="6"/>
      <c r="J309" s="6"/>
      <c r="K309" s="6"/>
      <c r="L309" s="6" t="n">
        <v>1</v>
      </c>
      <c r="M309" s="6"/>
      <c r="N309" s="6" t="s">
        <v>1100</v>
      </c>
      <c r="O309" s="6" t="s">
        <v>147</v>
      </c>
    </row>
    <row r="310" customFormat="false" ht="15" hidden="false" customHeight="false" outlineLevel="0" collapsed="false">
      <c r="A310" s="6" t="n">
        <v>307</v>
      </c>
      <c r="B310" s="6" t="s">
        <v>1696</v>
      </c>
      <c r="C310" s="6" t="n">
        <v>2023</v>
      </c>
      <c r="D310" s="6" t="s">
        <v>1697</v>
      </c>
      <c r="E310" s="6" t="s">
        <v>1478</v>
      </c>
      <c r="F310" s="6" t="s">
        <v>33</v>
      </c>
      <c r="G310" s="6" t="s">
        <v>147</v>
      </c>
      <c r="H310" s="6"/>
      <c r="I310" s="6" t="n">
        <v>1</v>
      </c>
      <c r="J310" s="6"/>
      <c r="K310" s="6"/>
      <c r="L310" s="6" t="n">
        <v>1</v>
      </c>
      <c r="M310" s="6"/>
      <c r="N310" s="6" t="s">
        <v>1100</v>
      </c>
      <c r="O310" s="6" t="s">
        <v>147</v>
      </c>
    </row>
    <row r="311" customFormat="false" ht="15" hidden="false" customHeight="false" outlineLevel="0" collapsed="false">
      <c r="A311" s="6" t="n">
        <v>308</v>
      </c>
      <c r="B311" s="6" t="s">
        <v>397</v>
      </c>
      <c r="C311" s="6" t="n">
        <v>2023</v>
      </c>
      <c r="D311" s="6" t="s">
        <v>400</v>
      </c>
      <c r="E311" s="6" t="s">
        <v>401</v>
      </c>
      <c r="F311" s="6" t="s">
        <v>146</v>
      </c>
      <c r="G311" s="6" t="s">
        <v>146</v>
      </c>
      <c r="H311" s="6" t="n">
        <v>1</v>
      </c>
      <c r="I311" s="6" t="n">
        <v>1</v>
      </c>
      <c r="J311" s="6"/>
      <c r="K311" s="6" t="n">
        <v>1</v>
      </c>
      <c r="L311" s="6" t="n">
        <v>1</v>
      </c>
      <c r="M311" s="6"/>
      <c r="N311" s="6" t="s">
        <v>1100</v>
      </c>
      <c r="O311" s="6" t="s">
        <v>146</v>
      </c>
    </row>
    <row r="312" customFormat="false" ht="15" hidden="false" customHeight="false" outlineLevel="0" collapsed="false">
      <c r="A312" s="6" t="n">
        <v>309</v>
      </c>
      <c r="B312" s="6" t="s">
        <v>1698</v>
      </c>
      <c r="C312" s="6" t="n">
        <v>2023</v>
      </c>
      <c r="D312" s="6" t="s">
        <v>1699</v>
      </c>
      <c r="E312" s="6" t="s">
        <v>1700</v>
      </c>
      <c r="F312" s="6" t="s">
        <v>33</v>
      </c>
      <c r="G312" s="6" t="s">
        <v>147</v>
      </c>
      <c r="H312" s="6"/>
      <c r="I312" s="6"/>
      <c r="J312" s="6" t="n">
        <v>1</v>
      </c>
      <c r="K312" s="6"/>
      <c r="L312" s="6"/>
      <c r="M312" s="6"/>
      <c r="N312" s="6" t="s">
        <v>1100</v>
      </c>
      <c r="O312" s="6" t="s">
        <v>147</v>
      </c>
    </row>
    <row r="313" customFormat="false" ht="15" hidden="false" customHeight="false" outlineLevel="0" collapsed="false">
      <c r="A313" s="6" t="n">
        <v>310</v>
      </c>
      <c r="B313" s="6" t="s">
        <v>730</v>
      </c>
      <c r="C313" s="6" t="n">
        <v>2023</v>
      </c>
      <c r="D313" s="6" t="s">
        <v>733</v>
      </c>
      <c r="E313" s="6" t="s">
        <v>734</v>
      </c>
      <c r="F313" s="6" t="s">
        <v>146</v>
      </c>
      <c r="G313" s="6" t="s">
        <v>147</v>
      </c>
      <c r="H313" s="6"/>
      <c r="I313" s="6" t="n">
        <v>1</v>
      </c>
      <c r="J313" s="6"/>
      <c r="K313" s="6" t="n">
        <v>1</v>
      </c>
      <c r="L313" s="6" t="n">
        <v>1</v>
      </c>
      <c r="M313" s="6" t="n">
        <v>1</v>
      </c>
      <c r="N313" s="6" t="s">
        <v>1187</v>
      </c>
      <c r="O313" s="6" t="s">
        <v>146</v>
      </c>
    </row>
    <row r="314" customFormat="false" ht="15" hidden="false" customHeight="false" outlineLevel="0" collapsed="false">
      <c r="A314" s="6" t="n">
        <v>311</v>
      </c>
      <c r="B314" s="6" t="s">
        <v>965</v>
      </c>
      <c r="C314" s="6" t="n">
        <v>2023</v>
      </c>
      <c r="D314" s="6" t="s">
        <v>967</v>
      </c>
      <c r="E314" s="6" t="s">
        <v>968</v>
      </c>
      <c r="F314" s="6" t="s">
        <v>146</v>
      </c>
      <c r="G314" s="6" t="s">
        <v>146</v>
      </c>
      <c r="H314" s="6" t="n">
        <v>1</v>
      </c>
      <c r="I314" s="6" t="n">
        <v>1</v>
      </c>
      <c r="J314" s="6" t="n">
        <v>1</v>
      </c>
      <c r="K314" s="6" t="n">
        <v>1</v>
      </c>
      <c r="L314" s="6" t="n">
        <v>1</v>
      </c>
      <c r="M314" s="6"/>
      <c r="N314" s="6" t="s">
        <v>1100</v>
      </c>
      <c r="O314" s="6" t="s">
        <v>146</v>
      </c>
    </row>
    <row r="315" customFormat="false" ht="15" hidden="false" customHeight="false" outlineLevel="0" collapsed="false">
      <c r="A315" s="6" t="n">
        <v>312</v>
      </c>
      <c r="B315" s="6" t="s">
        <v>869</v>
      </c>
      <c r="C315" s="6" t="n">
        <v>2023</v>
      </c>
      <c r="D315" s="6" t="s">
        <v>872</v>
      </c>
      <c r="E315" s="6" t="s">
        <v>716</v>
      </c>
      <c r="F315" s="6" t="s">
        <v>146</v>
      </c>
      <c r="G315" s="6" t="s">
        <v>146</v>
      </c>
      <c r="H315" s="6" t="n">
        <v>1</v>
      </c>
      <c r="I315" s="6" t="n">
        <v>1</v>
      </c>
      <c r="J315" s="6"/>
      <c r="K315" s="6" t="n">
        <v>1</v>
      </c>
      <c r="L315" s="6"/>
      <c r="M315" s="6"/>
      <c r="N315" s="6" t="s">
        <v>1100</v>
      </c>
      <c r="O315" s="6" t="s">
        <v>146</v>
      </c>
    </row>
    <row r="316" customFormat="false" ht="15" hidden="false" customHeight="false" outlineLevel="0" collapsed="false">
      <c r="A316" s="6" t="n">
        <v>313</v>
      </c>
      <c r="B316" s="6" t="s">
        <v>889</v>
      </c>
      <c r="C316" s="6" t="n">
        <v>2023</v>
      </c>
      <c r="D316" s="6" t="s">
        <v>892</v>
      </c>
      <c r="E316" s="6" t="s">
        <v>893</v>
      </c>
      <c r="F316" s="6" t="s">
        <v>146</v>
      </c>
      <c r="G316" s="6" t="s">
        <v>147</v>
      </c>
      <c r="H316" s="6"/>
      <c r="I316" s="6"/>
      <c r="J316" s="6" t="n">
        <v>1</v>
      </c>
      <c r="K316" s="6" t="n">
        <v>1</v>
      </c>
      <c r="L316" s="6"/>
      <c r="M316" s="6" t="n">
        <v>1</v>
      </c>
      <c r="N316" s="6" t="s">
        <v>1187</v>
      </c>
      <c r="O316" s="6" t="s">
        <v>146</v>
      </c>
    </row>
    <row r="317" customFormat="false" ht="15" hidden="false" customHeight="false" outlineLevel="0" collapsed="false">
      <c r="A317" s="6" t="n">
        <v>314</v>
      </c>
      <c r="B317" s="6" t="s">
        <v>1701</v>
      </c>
      <c r="C317" s="6" t="n">
        <v>2023</v>
      </c>
      <c r="D317" s="6" t="s">
        <v>1702</v>
      </c>
      <c r="E317" s="6" t="s">
        <v>893</v>
      </c>
      <c r="F317" s="6" t="s">
        <v>34</v>
      </c>
      <c r="G317" s="6" t="s">
        <v>146</v>
      </c>
      <c r="H317" s="6" t="n">
        <v>1</v>
      </c>
      <c r="I317" s="6"/>
      <c r="J317" s="6" t="n">
        <v>1</v>
      </c>
      <c r="K317" s="6" t="n">
        <v>1</v>
      </c>
      <c r="L317" s="6"/>
      <c r="M317" s="6" t="n">
        <v>1</v>
      </c>
      <c r="N317" s="6" t="s">
        <v>1165</v>
      </c>
      <c r="O317" s="6" t="s">
        <v>147</v>
      </c>
    </row>
    <row r="318" customFormat="false" ht="15" hidden="false" customHeight="false" outlineLevel="0" collapsed="false">
      <c r="A318" s="6" t="n">
        <v>315</v>
      </c>
      <c r="B318" s="6" t="s">
        <v>1703</v>
      </c>
      <c r="C318" s="6" t="n">
        <v>2023</v>
      </c>
      <c r="D318" s="6" t="s">
        <v>1704</v>
      </c>
      <c r="E318" s="6" t="s">
        <v>1705</v>
      </c>
      <c r="F318" s="6" t="s">
        <v>33</v>
      </c>
      <c r="G318" s="6" t="s">
        <v>147</v>
      </c>
      <c r="H318" s="6"/>
      <c r="I318" s="6" t="n">
        <v>1</v>
      </c>
      <c r="J318" s="6"/>
      <c r="K318" s="6"/>
      <c r="L318" s="6" t="n">
        <v>1</v>
      </c>
      <c r="M318" s="6"/>
      <c r="N318" s="6" t="s">
        <v>1100</v>
      </c>
      <c r="O318" s="6" t="s">
        <v>147</v>
      </c>
    </row>
    <row r="319" customFormat="false" ht="15" hidden="false" customHeight="false" outlineLevel="0" collapsed="false">
      <c r="A319" s="6" t="n">
        <v>316</v>
      </c>
      <c r="B319" s="6" t="s">
        <v>451</v>
      </c>
      <c r="C319" s="6" t="n">
        <v>2023</v>
      </c>
      <c r="D319" s="6" t="s">
        <v>454</v>
      </c>
      <c r="E319" s="6" t="s">
        <v>344</v>
      </c>
      <c r="F319" s="6" t="s">
        <v>146</v>
      </c>
      <c r="G319" s="6" t="s">
        <v>146</v>
      </c>
      <c r="H319" s="6" t="n">
        <v>1</v>
      </c>
      <c r="I319" s="6"/>
      <c r="J319" s="6" t="n">
        <v>1</v>
      </c>
      <c r="K319" s="6"/>
      <c r="L319" s="6" t="n">
        <v>1</v>
      </c>
      <c r="M319" s="6"/>
      <c r="N319" s="6" t="s">
        <v>1100</v>
      </c>
      <c r="O319" s="6" t="s">
        <v>146</v>
      </c>
    </row>
    <row r="320" customFormat="false" ht="15" hidden="false" customHeight="false" outlineLevel="0" collapsed="false">
      <c r="A320" s="6" t="n">
        <v>317</v>
      </c>
      <c r="B320" s="6" t="s">
        <v>1706</v>
      </c>
      <c r="C320" s="6" t="n">
        <v>2023</v>
      </c>
      <c r="D320" s="6" t="s">
        <v>1707</v>
      </c>
      <c r="E320" s="6" t="s">
        <v>1705</v>
      </c>
      <c r="F320" s="6" t="s">
        <v>33</v>
      </c>
      <c r="G320" s="6" t="s">
        <v>146</v>
      </c>
      <c r="H320" s="6" t="n">
        <v>1</v>
      </c>
      <c r="I320" s="6"/>
      <c r="J320" s="6"/>
      <c r="K320" s="6"/>
      <c r="L320" s="6" t="n">
        <v>1</v>
      </c>
      <c r="M320" s="6" t="n">
        <v>1</v>
      </c>
      <c r="N320" s="6" t="s">
        <v>1183</v>
      </c>
      <c r="O320" s="6" t="s">
        <v>147</v>
      </c>
    </row>
    <row r="321" customFormat="false" ht="15" hidden="false" customHeight="false" outlineLevel="0" collapsed="false">
      <c r="A321" s="6" t="n">
        <v>318</v>
      </c>
      <c r="B321" s="6" t="s">
        <v>327</v>
      </c>
      <c r="C321" s="6" t="n">
        <v>2023</v>
      </c>
      <c r="D321" s="6" t="s">
        <v>330</v>
      </c>
      <c r="E321" s="6" t="s">
        <v>331</v>
      </c>
      <c r="F321" s="6" t="s">
        <v>146</v>
      </c>
      <c r="G321" s="6" t="s">
        <v>147</v>
      </c>
      <c r="H321" s="6"/>
      <c r="I321" s="6"/>
      <c r="J321" s="6"/>
      <c r="K321" s="6" t="n">
        <v>1</v>
      </c>
      <c r="L321" s="6" t="n">
        <v>1</v>
      </c>
      <c r="M321" s="6" t="n">
        <v>1</v>
      </c>
      <c r="N321" s="6" t="s">
        <v>1187</v>
      </c>
      <c r="O321" s="6" t="s">
        <v>146</v>
      </c>
    </row>
    <row r="322" customFormat="false" ht="15" hidden="false" customHeight="false" outlineLevel="0" collapsed="false">
      <c r="A322" s="6" t="n">
        <v>319</v>
      </c>
      <c r="B322" s="6" t="s">
        <v>1708</v>
      </c>
      <c r="C322" s="6" t="n">
        <v>2023</v>
      </c>
      <c r="D322" s="6" t="s">
        <v>1709</v>
      </c>
      <c r="E322" s="6" t="s">
        <v>1648</v>
      </c>
      <c r="F322" s="6" t="s">
        <v>33</v>
      </c>
      <c r="G322" s="6" t="s">
        <v>147</v>
      </c>
      <c r="H322" s="6"/>
      <c r="I322" s="6"/>
      <c r="J322" s="6"/>
      <c r="K322" s="6"/>
      <c r="L322" s="6"/>
      <c r="M322" s="6"/>
      <c r="N322" s="6" t="s">
        <v>1100</v>
      </c>
      <c r="O322" s="6" t="s">
        <v>147</v>
      </c>
    </row>
    <row r="323" customFormat="false" ht="15" hidden="false" customHeight="false" outlineLevel="0" collapsed="false">
      <c r="A323" s="6" t="n">
        <v>320</v>
      </c>
      <c r="B323" s="6" t="s">
        <v>637</v>
      </c>
      <c r="C323" s="6" t="n">
        <v>2023</v>
      </c>
      <c r="D323" s="6" t="s">
        <v>639</v>
      </c>
      <c r="E323" s="6" t="s">
        <v>640</v>
      </c>
      <c r="F323" s="6" t="s">
        <v>146</v>
      </c>
      <c r="G323" s="6" t="s">
        <v>146</v>
      </c>
      <c r="H323" s="6"/>
      <c r="I323" s="6" t="n">
        <v>1</v>
      </c>
      <c r="J323" s="6" t="n">
        <v>1</v>
      </c>
      <c r="K323" s="6"/>
      <c r="L323" s="6"/>
      <c r="M323" s="6"/>
      <c r="N323" s="6" t="s">
        <v>1100</v>
      </c>
      <c r="O323" s="6" t="s">
        <v>146</v>
      </c>
    </row>
    <row r="324" customFormat="false" ht="15" hidden="false" customHeight="false" outlineLevel="0" collapsed="false">
      <c r="A324" s="6" t="n">
        <v>321</v>
      </c>
      <c r="B324" s="6" t="s">
        <v>1710</v>
      </c>
      <c r="C324" s="6" t="n">
        <v>2023</v>
      </c>
      <c r="D324" s="6" t="s">
        <v>1711</v>
      </c>
      <c r="E324" s="6" t="s">
        <v>1712</v>
      </c>
      <c r="F324" s="6" t="s">
        <v>33</v>
      </c>
      <c r="G324" s="6" t="s">
        <v>147</v>
      </c>
      <c r="H324" s="6"/>
      <c r="I324" s="6"/>
      <c r="J324" s="6"/>
      <c r="K324" s="6"/>
      <c r="L324" s="6" t="n">
        <v>1</v>
      </c>
      <c r="M324" s="6"/>
      <c r="N324" s="6" t="s">
        <v>1100</v>
      </c>
      <c r="O324" s="6" t="s">
        <v>147</v>
      </c>
    </row>
    <row r="325" customFormat="false" ht="15" hidden="false" customHeight="false" outlineLevel="0" collapsed="false">
      <c r="A325" s="6" t="n">
        <v>322</v>
      </c>
      <c r="B325" s="6" t="s">
        <v>1036</v>
      </c>
      <c r="C325" s="6" t="n">
        <v>2022</v>
      </c>
      <c r="D325" s="6" t="s">
        <v>1039</v>
      </c>
      <c r="E325" s="6" t="s">
        <v>1040</v>
      </c>
      <c r="F325" s="6" t="s">
        <v>146</v>
      </c>
      <c r="G325" s="6" t="s">
        <v>146</v>
      </c>
      <c r="H325" s="6" t="n">
        <v>1</v>
      </c>
      <c r="I325" s="6" t="n">
        <v>1</v>
      </c>
      <c r="J325" s="6"/>
      <c r="K325" s="6" t="n">
        <v>1</v>
      </c>
      <c r="L325" s="6" t="n">
        <v>1</v>
      </c>
      <c r="M325" s="6"/>
      <c r="N325" s="6" t="s">
        <v>1100</v>
      </c>
      <c r="O325" s="6" t="s">
        <v>146</v>
      </c>
    </row>
    <row r="326" customFormat="false" ht="15" hidden="false" customHeight="false" outlineLevel="0" collapsed="false">
      <c r="A326" s="6" t="n">
        <v>323</v>
      </c>
      <c r="B326" s="6" t="s">
        <v>1713</v>
      </c>
      <c r="C326" s="6" t="n">
        <v>2022</v>
      </c>
      <c r="D326" s="6" t="s">
        <v>1714</v>
      </c>
      <c r="E326" s="6" t="s">
        <v>1715</v>
      </c>
      <c r="F326" s="6" t="s">
        <v>33</v>
      </c>
      <c r="G326" s="6" t="s">
        <v>147</v>
      </c>
      <c r="H326" s="6"/>
      <c r="I326" s="6"/>
      <c r="J326" s="6"/>
      <c r="K326" s="6"/>
      <c r="L326" s="6" t="n">
        <v>1</v>
      </c>
      <c r="M326" s="6"/>
      <c r="N326" s="6" t="s">
        <v>1100</v>
      </c>
      <c r="O326" s="6" t="s">
        <v>147</v>
      </c>
    </row>
    <row r="327" customFormat="false" ht="15" hidden="false" customHeight="false" outlineLevel="0" collapsed="false">
      <c r="A327" s="6" t="n">
        <v>324</v>
      </c>
      <c r="B327" s="6" t="s">
        <v>524</v>
      </c>
      <c r="C327" s="6" t="n">
        <v>2022</v>
      </c>
      <c r="D327" s="6" t="s">
        <v>527</v>
      </c>
      <c r="E327" s="6" t="s">
        <v>528</v>
      </c>
      <c r="F327" s="6" t="s">
        <v>146</v>
      </c>
      <c r="G327" s="6" t="s">
        <v>147</v>
      </c>
      <c r="H327" s="6"/>
      <c r="I327" s="6"/>
      <c r="J327" s="6"/>
      <c r="K327" s="6" t="n">
        <v>1</v>
      </c>
      <c r="L327" s="6" t="n">
        <v>1</v>
      </c>
      <c r="M327" s="6" t="n">
        <v>1</v>
      </c>
      <c r="N327" s="6" t="s">
        <v>1187</v>
      </c>
      <c r="O327" s="6" t="s">
        <v>146</v>
      </c>
    </row>
    <row r="328" customFormat="false" ht="15" hidden="false" customHeight="false" outlineLevel="0" collapsed="false">
      <c r="A328" s="6" t="n">
        <v>325</v>
      </c>
      <c r="B328" s="6" t="s">
        <v>370</v>
      </c>
      <c r="C328" s="6" t="n">
        <v>2022</v>
      </c>
      <c r="D328" s="6" t="s">
        <v>373</v>
      </c>
      <c r="E328" s="6" t="s">
        <v>374</v>
      </c>
      <c r="F328" s="6" t="s">
        <v>33</v>
      </c>
      <c r="G328" s="6" t="s">
        <v>146</v>
      </c>
      <c r="H328" s="6" t="n">
        <v>1</v>
      </c>
      <c r="I328" s="6" t="n">
        <v>1</v>
      </c>
      <c r="J328" s="6" t="n">
        <v>1</v>
      </c>
      <c r="K328" s="6"/>
      <c r="L328" s="6" t="n">
        <v>1</v>
      </c>
      <c r="M328" s="6" t="n">
        <v>1</v>
      </c>
      <c r="N328" s="6" t="s">
        <v>1101</v>
      </c>
      <c r="O328" s="6" t="s">
        <v>146</v>
      </c>
    </row>
    <row r="329" customFormat="false" ht="15" hidden="false" customHeight="false" outlineLevel="0" collapsed="false">
      <c r="A329" s="6" t="n">
        <v>326</v>
      </c>
      <c r="B329" s="6" t="s">
        <v>1716</v>
      </c>
      <c r="C329" s="6" t="n">
        <v>2022</v>
      </c>
      <c r="D329" s="6" t="s">
        <v>1717</v>
      </c>
      <c r="E329" s="6" t="s">
        <v>1645</v>
      </c>
      <c r="F329" s="6" t="s">
        <v>33</v>
      </c>
      <c r="G329" s="6" t="s">
        <v>147</v>
      </c>
      <c r="H329" s="6"/>
      <c r="I329" s="6"/>
      <c r="J329" s="6"/>
      <c r="K329" s="6"/>
      <c r="L329" s="6" t="n">
        <v>1</v>
      </c>
      <c r="M329" s="6"/>
      <c r="N329" s="6" t="s">
        <v>1100</v>
      </c>
      <c r="O329" s="6" t="s">
        <v>147</v>
      </c>
    </row>
    <row r="330" customFormat="false" ht="15" hidden="false" customHeight="false" outlineLevel="0" collapsed="false">
      <c r="A330" s="6" t="n">
        <v>327</v>
      </c>
      <c r="B330" s="6" t="s">
        <v>1718</v>
      </c>
      <c r="C330" s="6" t="n">
        <v>2022</v>
      </c>
      <c r="D330" s="6" t="s">
        <v>1719</v>
      </c>
      <c r="E330" s="6" t="s">
        <v>1720</v>
      </c>
      <c r="F330" s="6" t="s">
        <v>33</v>
      </c>
      <c r="G330" s="6" t="s">
        <v>147</v>
      </c>
      <c r="H330" s="6"/>
      <c r="I330" s="6"/>
      <c r="J330" s="6"/>
      <c r="K330" s="6"/>
      <c r="L330" s="6"/>
      <c r="M330" s="6"/>
      <c r="N330" s="6" t="s">
        <v>1100</v>
      </c>
      <c r="O330" s="6" t="s">
        <v>147</v>
      </c>
    </row>
    <row r="331" customFormat="false" ht="15" hidden="false" customHeight="false" outlineLevel="0" collapsed="false">
      <c r="A331" s="6" t="n">
        <v>328</v>
      </c>
      <c r="B331" s="6" t="s">
        <v>1721</v>
      </c>
      <c r="C331" s="6" t="n">
        <v>2022</v>
      </c>
      <c r="D331" s="6" t="s">
        <v>1722</v>
      </c>
      <c r="E331" s="6" t="s">
        <v>1723</v>
      </c>
      <c r="F331" s="6" t="s">
        <v>33</v>
      </c>
      <c r="G331" s="6" t="s">
        <v>147</v>
      </c>
      <c r="H331" s="6"/>
      <c r="I331" s="6"/>
      <c r="J331" s="6"/>
      <c r="K331" s="6"/>
      <c r="L331" s="6" t="n">
        <v>1</v>
      </c>
      <c r="M331" s="6"/>
      <c r="N331" s="6" t="s">
        <v>1100</v>
      </c>
      <c r="O331" s="6" t="s">
        <v>147</v>
      </c>
    </row>
    <row r="332" customFormat="false" ht="15" hidden="false" customHeight="false" outlineLevel="0" collapsed="false">
      <c r="A332" s="6" t="n">
        <v>329</v>
      </c>
      <c r="B332" s="6" t="s">
        <v>1724</v>
      </c>
      <c r="C332" s="6" t="n">
        <v>2022</v>
      </c>
      <c r="D332" s="6" t="s">
        <v>1725</v>
      </c>
      <c r="E332" s="6" t="s">
        <v>1726</v>
      </c>
      <c r="F332" s="6" t="s">
        <v>33</v>
      </c>
      <c r="G332" s="6" t="s">
        <v>147</v>
      </c>
      <c r="H332" s="6"/>
      <c r="I332" s="6" t="n">
        <v>1</v>
      </c>
      <c r="J332" s="6"/>
      <c r="K332" s="6"/>
      <c r="L332" s="6" t="n">
        <v>1</v>
      </c>
      <c r="M332" s="6"/>
      <c r="N332" s="6" t="s">
        <v>1100</v>
      </c>
      <c r="O332" s="6" t="s">
        <v>147</v>
      </c>
    </row>
    <row r="333" customFormat="false" ht="15" hidden="false" customHeight="false" outlineLevel="0" collapsed="false">
      <c r="A333" s="6" t="n">
        <v>330</v>
      </c>
      <c r="B333" s="6" t="s">
        <v>1727</v>
      </c>
      <c r="C333" s="6" t="n">
        <v>2022</v>
      </c>
      <c r="D333" s="6" t="s">
        <v>1728</v>
      </c>
      <c r="E333" s="6" t="s">
        <v>1603</v>
      </c>
      <c r="F333" s="6" t="s">
        <v>33</v>
      </c>
      <c r="G333" s="6" t="s">
        <v>147</v>
      </c>
      <c r="H333" s="6"/>
      <c r="I333" s="6"/>
      <c r="J333" s="6"/>
      <c r="K333" s="6"/>
      <c r="L333" s="6" t="n">
        <v>1</v>
      </c>
      <c r="M333" s="6"/>
      <c r="N333" s="6" t="s">
        <v>1100</v>
      </c>
      <c r="O333" s="6" t="s">
        <v>147</v>
      </c>
    </row>
    <row r="334" customFormat="false" ht="15" hidden="false" customHeight="false" outlineLevel="0" collapsed="false">
      <c r="A334" s="6" t="n">
        <v>331</v>
      </c>
      <c r="B334" s="6" t="s">
        <v>1729</v>
      </c>
      <c r="C334" s="6" t="n">
        <v>2022</v>
      </c>
      <c r="D334" s="6" t="s">
        <v>1730</v>
      </c>
      <c r="E334" s="6" t="s">
        <v>1528</v>
      </c>
      <c r="F334" s="6" t="s">
        <v>33</v>
      </c>
      <c r="G334" s="6" t="s">
        <v>147</v>
      </c>
      <c r="H334" s="6"/>
      <c r="I334" s="6"/>
      <c r="J334" s="6"/>
      <c r="K334" s="6"/>
      <c r="L334" s="6" t="n">
        <v>1</v>
      </c>
      <c r="M334" s="6"/>
      <c r="N334" s="6" t="s">
        <v>1100</v>
      </c>
      <c r="O334" s="6" t="s">
        <v>147</v>
      </c>
    </row>
    <row r="335" customFormat="false" ht="15" hidden="false" customHeight="false" outlineLevel="0" collapsed="false">
      <c r="A335" s="6" t="n">
        <v>332</v>
      </c>
      <c r="B335" s="6" t="s">
        <v>1731</v>
      </c>
      <c r="C335" s="6" t="n">
        <v>2022</v>
      </c>
      <c r="D335" s="6" t="s">
        <v>1732</v>
      </c>
      <c r="E335" s="6" t="s">
        <v>1733</v>
      </c>
      <c r="F335" s="6" t="s">
        <v>33</v>
      </c>
      <c r="G335" s="6" t="s">
        <v>147</v>
      </c>
      <c r="H335" s="6"/>
      <c r="I335" s="6"/>
      <c r="J335" s="6"/>
      <c r="K335" s="6"/>
      <c r="L335" s="6" t="n">
        <v>1</v>
      </c>
      <c r="M335" s="6"/>
      <c r="N335" s="6" t="s">
        <v>1100</v>
      </c>
      <c r="O335" s="6" t="s">
        <v>147</v>
      </c>
    </row>
    <row r="336" customFormat="false" ht="15" hidden="false" customHeight="false" outlineLevel="0" collapsed="false">
      <c r="A336" s="6" t="n">
        <v>333</v>
      </c>
      <c r="B336" s="6" t="s">
        <v>1734</v>
      </c>
      <c r="C336" s="6" t="n">
        <v>2022</v>
      </c>
      <c r="D336" s="6" t="s">
        <v>1735</v>
      </c>
      <c r="E336" s="6" t="s">
        <v>1736</v>
      </c>
      <c r="F336" s="6" t="s">
        <v>33</v>
      </c>
      <c r="G336" s="6" t="s">
        <v>147</v>
      </c>
      <c r="H336" s="6"/>
      <c r="I336" s="6"/>
      <c r="J336" s="6" t="n">
        <v>1</v>
      </c>
      <c r="K336" s="6"/>
      <c r="L336" s="6" t="n">
        <v>1</v>
      </c>
      <c r="M336" s="6"/>
      <c r="N336" s="6" t="s">
        <v>1100</v>
      </c>
      <c r="O336" s="6" t="s">
        <v>147</v>
      </c>
    </row>
    <row r="337" customFormat="false" ht="15" hidden="false" customHeight="false" outlineLevel="0" collapsed="false">
      <c r="A337" s="6" t="n">
        <v>334</v>
      </c>
      <c r="B337" s="6" t="s">
        <v>884</v>
      </c>
      <c r="C337" s="6" t="n">
        <v>2022</v>
      </c>
      <c r="D337" s="6" t="s">
        <v>887</v>
      </c>
      <c r="E337" s="6" t="s">
        <v>888</v>
      </c>
      <c r="F337" s="6" t="s">
        <v>146</v>
      </c>
      <c r="G337" s="6" t="s">
        <v>146</v>
      </c>
      <c r="H337" s="6" t="n">
        <v>1</v>
      </c>
      <c r="I337" s="6" t="n">
        <v>1</v>
      </c>
      <c r="J337" s="6" t="n">
        <v>1</v>
      </c>
      <c r="K337" s="6" t="n">
        <v>1</v>
      </c>
      <c r="L337" s="6" t="n">
        <v>1</v>
      </c>
      <c r="M337" s="6"/>
      <c r="N337" s="6" t="s">
        <v>1100</v>
      </c>
      <c r="O337" s="6" t="s">
        <v>146</v>
      </c>
    </row>
    <row r="338" customFormat="false" ht="15" hidden="false" customHeight="false" outlineLevel="0" collapsed="false">
      <c r="A338" s="6" t="n">
        <v>335</v>
      </c>
      <c r="B338" s="6" t="s">
        <v>1737</v>
      </c>
      <c r="C338" s="6" t="n">
        <v>2022</v>
      </c>
      <c r="D338" s="6" t="s">
        <v>1738</v>
      </c>
      <c r="E338" s="6" t="s">
        <v>1739</v>
      </c>
      <c r="F338" s="6" t="s">
        <v>34</v>
      </c>
      <c r="G338" s="6" t="s">
        <v>147</v>
      </c>
      <c r="H338" s="6"/>
      <c r="I338" s="6" t="n">
        <v>1</v>
      </c>
      <c r="J338" s="6"/>
      <c r="K338" s="6"/>
      <c r="L338" s="6" t="n">
        <v>1</v>
      </c>
      <c r="M338" s="6"/>
      <c r="N338" s="6" t="s">
        <v>1165</v>
      </c>
      <c r="O338" s="6" t="s">
        <v>147</v>
      </c>
    </row>
    <row r="339" customFormat="false" ht="15" hidden="false" customHeight="false" outlineLevel="0" collapsed="false">
      <c r="A339" s="6" t="n">
        <v>336</v>
      </c>
      <c r="B339" s="6" t="s">
        <v>846</v>
      </c>
      <c r="C339" s="6" t="n">
        <v>2022</v>
      </c>
      <c r="D339" s="6" t="s">
        <v>260</v>
      </c>
      <c r="E339" s="6" t="s">
        <v>259</v>
      </c>
      <c r="F339" s="6" t="s">
        <v>146</v>
      </c>
      <c r="G339" s="6" t="s">
        <v>146</v>
      </c>
      <c r="H339" s="6"/>
      <c r="I339" s="6" t="n">
        <v>1</v>
      </c>
      <c r="J339" s="6" t="n">
        <v>1</v>
      </c>
      <c r="K339" s="6" t="n">
        <v>1</v>
      </c>
      <c r="L339" s="6"/>
      <c r="M339" s="6"/>
      <c r="N339" s="6" t="s">
        <v>1100</v>
      </c>
      <c r="O339" s="6" t="s">
        <v>146</v>
      </c>
    </row>
    <row r="340" customFormat="false" ht="15" hidden="false" customHeight="false" outlineLevel="0" collapsed="false">
      <c r="A340" s="6" t="n">
        <v>337</v>
      </c>
      <c r="B340" s="6" t="s">
        <v>712</v>
      </c>
      <c r="C340" s="6" t="n">
        <v>2022</v>
      </c>
      <c r="D340" s="6" t="s">
        <v>715</v>
      </c>
      <c r="E340" s="6" t="s">
        <v>716</v>
      </c>
      <c r="F340" s="6" t="s">
        <v>146</v>
      </c>
      <c r="G340" s="6" t="s">
        <v>146</v>
      </c>
      <c r="H340" s="6" t="n">
        <v>1</v>
      </c>
      <c r="I340" s="6" t="n">
        <v>1</v>
      </c>
      <c r="J340" s="6"/>
      <c r="K340" s="6" t="n">
        <v>1</v>
      </c>
      <c r="L340" s="6" t="n">
        <v>1</v>
      </c>
      <c r="M340" s="6"/>
      <c r="N340" s="6" t="s">
        <v>1100</v>
      </c>
      <c r="O340" s="6" t="s">
        <v>146</v>
      </c>
    </row>
    <row r="341" customFormat="false" ht="15" hidden="false" customHeight="false" outlineLevel="0" collapsed="false">
      <c r="A341" s="6" t="n">
        <v>338</v>
      </c>
      <c r="B341" s="6" t="s">
        <v>1740</v>
      </c>
      <c r="C341" s="6" t="n">
        <v>2022</v>
      </c>
      <c r="D341" s="6" t="s">
        <v>1741</v>
      </c>
      <c r="E341" s="6" t="s">
        <v>1742</v>
      </c>
      <c r="F341" s="6" t="s">
        <v>33</v>
      </c>
      <c r="G341" s="6" t="s">
        <v>147</v>
      </c>
      <c r="H341" s="6"/>
      <c r="I341" s="6" t="n">
        <v>1</v>
      </c>
      <c r="J341" s="6"/>
      <c r="K341" s="6"/>
      <c r="L341" s="6" t="n">
        <v>1</v>
      </c>
      <c r="M341" s="6"/>
      <c r="N341" s="6" t="s">
        <v>1100</v>
      </c>
      <c r="O341" s="6" t="s">
        <v>147</v>
      </c>
    </row>
    <row r="342" customFormat="false" ht="15" hidden="false" customHeight="false" outlineLevel="0" collapsed="false">
      <c r="A342" s="6" t="n">
        <v>339</v>
      </c>
      <c r="B342" s="6" t="s">
        <v>1743</v>
      </c>
      <c r="C342" s="6" t="n">
        <v>2022</v>
      </c>
      <c r="D342" s="6" t="s">
        <v>1744</v>
      </c>
      <c r="E342" s="6" t="s">
        <v>351</v>
      </c>
      <c r="F342" s="6" t="s">
        <v>33</v>
      </c>
      <c r="G342" s="6" t="s">
        <v>147</v>
      </c>
      <c r="H342" s="6"/>
      <c r="I342" s="6"/>
      <c r="J342" s="6" t="n">
        <v>1</v>
      </c>
      <c r="K342" s="6"/>
      <c r="L342" s="6"/>
      <c r="M342" s="6"/>
      <c r="N342" s="6" t="s">
        <v>1100</v>
      </c>
      <c r="O342" s="6" t="s">
        <v>147</v>
      </c>
    </row>
    <row r="343" customFormat="false" ht="15" hidden="false" customHeight="false" outlineLevel="0" collapsed="false">
      <c r="A343" s="6" t="n">
        <v>340</v>
      </c>
      <c r="B343" s="6" t="s">
        <v>554</v>
      </c>
      <c r="C343" s="6" t="n">
        <v>2022</v>
      </c>
      <c r="D343" s="6" t="s">
        <v>557</v>
      </c>
      <c r="E343" s="6" t="s">
        <v>558</v>
      </c>
      <c r="F343" s="6" t="s">
        <v>146</v>
      </c>
      <c r="G343" s="6" t="s">
        <v>146</v>
      </c>
      <c r="H343" s="6" t="n">
        <v>1</v>
      </c>
      <c r="I343" s="6"/>
      <c r="J343" s="6"/>
      <c r="K343" s="6"/>
      <c r="L343" s="6" t="n">
        <v>1</v>
      </c>
      <c r="M343" s="6"/>
      <c r="N343" s="6" t="s">
        <v>1100</v>
      </c>
      <c r="O343" s="6" t="s">
        <v>146</v>
      </c>
    </row>
    <row r="344" customFormat="false" ht="15" hidden="false" customHeight="false" outlineLevel="0" collapsed="false">
      <c r="A344" s="6" t="n">
        <v>341</v>
      </c>
      <c r="B344" s="6" t="s">
        <v>1745</v>
      </c>
      <c r="C344" s="6" t="n">
        <v>2022</v>
      </c>
      <c r="D344" s="6" t="s">
        <v>1746</v>
      </c>
      <c r="E344" s="6" t="s">
        <v>1350</v>
      </c>
      <c r="F344" s="6" t="s">
        <v>146</v>
      </c>
      <c r="G344" s="6" t="s">
        <v>147</v>
      </c>
      <c r="H344" s="6"/>
      <c r="I344" s="6"/>
      <c r="J344" s="6" t="n">
        <v>1</v>
      </c>
      <c r="K344" s="6"/>
      <c r="L344" s="6" t="n">
        <v>1</v>
      </c>
      <c r="M344" s="6" t="n">
        <v>1</v>
      </c>
      <c r="N344" s="6" t="s">
        <v>1183</v>
      </c>
      <c r="O344" s="6" t="s">
        <v>147</v>
      </c>
    </row>
    <row r="345" customFormat="false" ht="15" hidden="false" customHeight="false" outlineLevel="0" collapsed="false">
      <c r="A345" s="6" t="n">
        <v>342</v>
      </c>
      <c r="B345" s="6" t="s">
        <v>1747</v>
      </c>
      <c r="C345" s="6" t="n">
        <v>2022</v>
      </c>
      <c r="D345" s="6" t="s">
        <v>1748</v>
      </c>
      <c r="E345" s="6" t="s">
        <v>1749</v>
      </c>
      <c r="F345" s="6" t="s">
        <v>33</v>
      </c>
      <c r="G345" s="6" t="s">
        <v>147</v>
      </c>
      <c r="H345" s="6"/>
      <c r="I345" s="6"/>
      <c r="J345" s="6"/>
      <c r="K345" s="6"/>
      <c r="L345" s="6" t="n">
        <v>1</v>
      </c>
      <c r="M345" s="6"/>
      <c r="N345" s="6" t="s">
        <v>1100</v>
      </c>
      <c r="O345" s="6" t="s">
        <v>147</v>
      </c>
    </row>
    <row r="346" customFormat="false" ht="15" hidden="false" customHeight="false" outlineLevel="0" collapsed="false">
      <c r="A346" s="6" t="n">
        <v>343</v>
      </c>
      <c r="B346" s="6" t="s">
        <v>1750</v>
      </c>
      <c r="C346" s="6" t="n">
        <v>2022</v>
      </c>
      <c r="D346" s="6" t="s">
        <v>1751</v>
      </c>
      <c r="E346" s="6" t="s">
        <v>1752</v>
      </c>
      <c r="F346" s="6" t="s">
        <v>33</v>
      </c>
      <c r="G346" s="6" t="s">
        <v>147</v>
      </c>
      <c r="H346" s="6"/>
      <c r="I346" s="6"/>
      <c r="J346" s="6"/>
      <c r="K346" s="6"/>
      <c r="L346" s="6"/>
      <c r="M346" s="6"/>
      <c r="N346" s="6" t="s">
        <v>1100</v>
      </c>
      <c r="O346" s="6" t="s">
        <v>147</v>
      </c>
    </row>
    <row r="347" customFormat="false" ht="15" hidden="false" customHeight="false" outlineLevel="0" collapsed="false">
      <c r="A347" s="6" t="n">
        <v>344</v>
      </c>
      <c r="B347" s="6" t="s">
        <v>787</v>
      </c>
      <c r="C347" s="6" t="n">
        <v>2021</v>
      </c>
      <c r="D347" s="6" t="s">
        <v>790</v>
      </c>
      <c r="E347" s="6" t="s">
        <v>387</v>
      </c>
      <c r="F347" s="6" t="s">
        <v>33</v>
      </c>
      <c r="G347" s="6" t="s">
        <v>146</v>
      </c>
      <c r="H347" s="6" t="n">
        <v>1</v>
      </c>
      <c r="I347" s="6" t="n">
        <v>1</v>
      </c>
      <c r="J347" s="6" t="n">
        <v>1</v>
      </c>
      <c r="K347" s="6"/>
      <c r="L347" s="6" t="n">
        <v>1</v>
      </c>
      <c r="M347" s="6" t="n">
        <v>1</v>
      </c>
      <c r="N347" s="6" t="s">
        <v>1101</v>
      </c>
      <c r="O347" s="6" t="s">
        <v>146</v>
      </c>
    </row>
    <row r="348" customFormat="false" ht="15" hidden="false" customHeight="false" outlineLevel="0" collapsed="false">
      <c r="A348" s="6" t="n">
        <v>345</v>
      </c>
      <c r="B348" s="6" t="s">
        <v>1753</v>
      </c>
      <c r="C348" s="6" t="n">
        <v>2021</v>
      </c>
      <c r="D348" s="6" t="s">
        <v>1754</v>
      </c>
      <c r="E348" s="6" t="s">
        <v>1755</v>
      </c>
      <c r="F348" s="6" t="s">
        <v>33</v>
      </c>
      <c r="G348" s="6" t="s">
        <v>147</v>
      </c>
      <c r="H348" s="6"/>
      <c r="I348" s="6"/>
      <c r="J348" s="6"/>
      <c r="K348" s="6"/>
      <c r="L348" s="6"/>
      <c r="M348" s="6"/>
      <c r="N348" s="6" t="s">
        <v>1100</v>
      </c>
      <c r="O348" s="6" t="s">
        <v>147</v>
      </c>
    </row>
    <row r="349" customFormat="false" ht="15" hidden="false" customHeight="false" outlineLevel="0" collapsed="false">
      <c r="A349" s="6" t="n">
        <v>346</v>
      </c>
      <c r="B349" s="6" t="s">
        <v>383</v>
      </c>
      <c r="C349" s="6" t="n">
        <v>2021</v>
      </c>
      <c r="D349" s="6" t="s">
        <v>386</v>
      </c>
      <c r="E349" s="6" t="s">
        <v>387</v>
      </c>
      <c r="F349" s="6" t="s">
        <v>146</v>
      </c>
      <c r="G349" s="6" t="s">
        <v>146</v>
      </c>
      <c r="H349" s="6"/>
      <c r="I349" s="6" t="n">
        <v>1</v>
      </c>
      <c r="J349" s="6" t="n">
        <v>1</v>
      </c>
      <c r="K349" s="6" t="n">
        <v>1</v>
      </c>
      <c r="L349" s="6" t="n">
        <v>1</v>
      </c>
      <c r="M349" s="6"/>
      <c r="N349" s="6" t="s">
        <v>1100</v>
      </c>
      <c r="O349" s="6" t="s">
        <v>146</v>
      </c>
    </row>
    <row r="350" customFormat="false" ht="15" hidden="false" customHeight="false" outlineLevel="0" collapsed="false">
      <c r="A350" s="6" t="n">
        <v>347</v>
      </c>
      <c r="B350" s="6" t="s">
        <v>937</v>
      </c>
      <c r="C350" s="6" t="n">
        <v>2021</v>
      </c>
      <c r="D350" s="6" t="s">
        <v>940</v>
      </c>
      <c r="E350" s="6" t="s">
        <v>387</v>
      </c>
      <c r="F350" s="6" t="s">
        <v>146</v>
      </c>
      <c r="G350" s="6" t="s">
        <v>147</v>
      </c>
      <c r="H350" s="6"/>
      <c r="I350" s="6"/>
      <c r="J350" s="6" t="n">
        <v>1</v>
      </c>
      <c r="K350" s="6" t="n">
        <v>1</v>
      </c>
      <c r="L350" s="6" t="n">
        <v>1</v>
      </c>
      <c r="M350" s="6" t="n">
        <v>1</v>
      </c>
      <c r="N350" s="6" t="s">
        <v>1187</v>
      </c>
      <c r="O350" s="6" t="s">
        <v>146</v>
      </c>
    </row>
    <row r="351" customFormat="false" ht="15" hidden="false" customHeight="false" outlineLevel="0" collapsed="false">
      <c r="A351" s="6" t="n">
        <v>348</v>
      </c>
      <c r="B351" s="6" t="s">
        <v>1756</v>
      </c>
      <c r="C351" s="6" t="n">
        <v>2021</v>
      </c>
      <c r="D351" s="6" t="s">
        <v>1757</v>
      </c>
      <c r="E351" s="6" t="s">
        <v>820</v>
      </c>
      <c r="F351" s="6" t="s">
        <v>33</v>
      </c>
      <c r="G351" s="6" t="s">
        <v>147</v>
      </c>
      <c r="H351" s="6"/>
      <c r="I351" s="6" t="n">
        <v>1</v>
      </c>
      <c r="J351" s="6"/>
      <c r="K351" s="6"/>
      <c r="L351" s="6"/>
      <c r="M351" s="6"/>
      <c r="N351" s="6" t="s">
        <v>1100</v>
      </c>
      <c r="O351" s="6" t="s">
        <v>147</v>
      </c>
    </row>
    <row r="352" customFormat="false" ht="15" hidden="false" customHeight="false" outlineLevel="0" collapsed="false">
      <c r="A352" s="6" t="n">
        <v>349</v>
      </c>
      <c r="B352" s="6" t="s">
        <v>1758</v>
      </c>
      <c r="C352" s="6" t="n">
        <v>2021</v>
      </c>
      <c r="D352" s="6" t="s">
        <v>1759</v>
      </c>
      <c r="E352" s="6" t="s">
        <v>1460</v>
      </c>
      <c r="F352" s="6" t="s">
        <v>33</v>
      </c>
      <c r="G352" s="6" t="s">
        <v>147</v>
      </c>
      <c r="H352" s="6"/>
      <c r="I352" s="6"/>
      <c r="J352" s="6"/>
      <c r="K352" s="6"/>
      <c r="L352" s="6"/>
      <c r="M352" s="6"/>
      <c r="N352" s="6" t="s">
        <v>1100</v>
      </c>
      <c r="O352" s="6" t="s">
        <v>147</v>
      </c>
    </row>
    <row r="353" customFormat="false" ht="15" hidden="false" customHeight="false" outlineLevel="0" collapsed="false">
      <c r="A353" s="6" t="n">
        <v>350</v>
      </c>
      <c r="B353" s="6" t="s">
        <v>1760</v>
      </c>
      <c r="C353" s="6" t="n">
        <v>2021</v>
      </c>
      <c r="D353" s="6" t="s">
        <v>1761</v>
      </c>
      <c r="E353" s="6" t="s">
        <v>1762</v>
      </c>
      <c r="F353" s="6" t="s">
        <v>33</v>
      </c>
      <c r="G353" s="6" t="s">
        <v>147</v>
      </c>
      <c r="H353" s="6"/>
      <c r="I353" s="6"/>
      <c r="J353" s="6"/>
      <c r="K353" s="6"/>
      <c r="L353" s="6" t="n">
        <v>1</v>
      </c>
      <c r="M353" s="6"/>
      <c r="N353" s="6" t="s">
        <v>1100</v>
      </c>
      <c r="O353" s="6" t="s">
        <v>147</v>
      </c>
    </row>
    <row r="354" customFormat="false" ht="15" hidden="false" customHeight="false" outlineLevel="0" collapsed="false">
      <c r="A354" s="6" t="n">
        <v>351</v>
      </c>
      <c r="B354" s="6" t="s">
        <v>1763</v>
      </c>
      <c r="C354" s="6" t="n">
        <v>2021</v>
      </c>
      <c r="D354" s="6" t="s">
        <v>1764</v>
      </c>
      <c r="E354" s="6" t="s">
        <v>1765</v>
      </c>
      <c r="F354" s="6" t="s">
        <v>33</v>
      </c>
      <c r="G354" s="6" t="s">
        <v>147</v>
      </c>
      <c r="H354" s="6"/>
      <c r="I354" s="6"/>
      <c r="J354" s="6"/>
      <c r="K354" s="6"/>
      <c r="L354" s="6"/>
      <c r="M354" s="6"/>
      <c r="N354" s="6" t="s">
        <v>1100</v>
      </c>
      <c r="O354" s="6" t="s">
        <v>147</v>
      </c>
    </row>
    <row r="355" customFormat="false" ht="15" hidden="false" customHeight="false" outlineLevel="0" collapsed="false">
      <c r="A355" s="6" t="n">
        <v>352</v>
      </c>
      <c r="B355" s="6" t="s">
        <v>457</v>
      </c>
      <c r="C355" s="6" t="n">
        <v>2021</v>
      </c>
      <c r="D355" s="6" t="s">
        <v>460</v>
      </c>
      <c r="E355" s="6" t="s">
        <v>461</v>
      </c>
      <c r="F355" s="6" t="s">
        <v>146</v>
      </c>
      <c r="G355" s="6" t="s">
        <v>146</v>
      </c>
      <c r="H355" s="6" t="n">
        <v>1</v>
      </c>
      <c r="I355" s="6"/>
      <c r="J355" s="6" t="n">
        <v>1</v>
      </c>
      <c r="K355" s="6"/>
      <c r="L355" s="6" t="n">
        <v>1</v>
      </c>
      <c r="M355" s="6"/>
      <c r="N355" s="6" t="s">
        <v>1100</v>
      </c>
      <c r="O355" s="6" t="s">
        <v>146</v>
      </c>
    </row>
    <row r="356" customFormat="false" ht="15" hidden="false" customHeight="false" outlineLevel="0" collapsed="false">
      <c r="A356" s="6" t="n">
        <v>353</v>
      </c>
      <c r="B356" s="6" t="s">
        <v>1766</v>
      </c>
      <c r="C356" s="6" t="n">
        <v>2021</v>
      </c>
      <c r="D356" s="6" t="s">
        <v>1767</v>
      </c>
      <c r="E356" s="6" t="s">
        <v>728</v>
      </c>
      <c r="F356" s="6" t="s">
        <v>33</v>
      </c>
      <c r="G356" s="6" t="s">
        <v>147</v>
      </c>
      <c r="H356" s="6"/>
      <c r="I356" s="6" t="n">
        <v>1</v>
      </c>
      <c r="J356" s="6"/>
      <c r="K356" s="6"/>
      <c r="L356" s="6" t="n">
        <v>1</v>
      </c>
      <c r="M356" s="6"/>
      <c r="N356" s="6" t="s">
        <v>1100</v>
      </c>
      <c r="O356" s="6" t="s">
        <v>147</v>
      </c>
    </row>
    <row r="357" customFormat="false" ht="15" hidden="false" customHeight="false" outlineLevel="0" collapsed="false">
      <c r="A357" s="6" t="n">
        <v>354</v>
      </c>
      <c r="B357" s="6" t="s">
        <v>1768</v>
      </c>
      <c r="C357" s="6" t="n">
        <v>2021</v>
      </c>
      <c r="D357" s="6" t="s">
        <v>1769</v>
      </c>
      <c r="E357" s="6" t="s">
        <v>535</v>
      </c>
      <c r="F357" s="6" t="s">
        <v>1580</v>
      </c>
      <c r="G357" s="6" t="s">
        <v>147</v>
      </c>
      <c r="H357" s="6"/>
      <c r="I357" s="6"/>
      <c r="J357" s="6"/>
      <c r="K357" s="6"/>
      <c r="L357" s="6"/>
      <c r="M357" s="6"/>
      <c r="N357" s="6" t="s">
        <v>1165</v>
      </c>
      <c r="O357" s="6" t="s">
        <v>147</v>
      </c>
    </row>
    <row r="358" customFormat="false" ht="15" hidden="false" customHeight="false" outlineLevel="0" collapsed="false">
      <c r="A358" s="6" t="n">
        <v>355</v>
      </c>
      <c r="B358" s="6" t="s">
        <v>1770</v>
      </c>
      <c r="C358" s="6" t="n">
        <v>2021</v>
      </c>
      <c r="D358" s="6" t="s">
        <v>1771</v>
      </c>
      <c r="E358" s="6" t="s">
        <v>535</v>
      </c>
      <c r="F358" s="6" t="s">
        <v>33</v>
      </c>
      <c r="G358" s="6" t="s">
        <v>147</v>
      </c>
      <c r="H358" s="6"/>
      <c r="I358" s="6"/>
      <c r="J358" s="6" t="n">
        <v>1</v>
      </c>
      <c r="K358" s="6"/>
      <c r="L358" s="6"/>
      <c r="M358" s="6"/>
      <c r="N358" s="6" t="s">
        <v>1100</v>
      </c>
      <c r="O358" s="6" t="s">
        <v>147</v>
      </c>
    </row>
    <row r="359" customFormat="false" ht="15" hidden="false" customHeight="false" outlineLevel="0" collapsed="false">
      <c r="A359" s="6" t="n">
        <v>356</v>
      </c>
      <c r="B359" s="6" t="s">
        <v>1772</v>
      </c>
      <c r="C359" s="6" t="n">
        <v>2021</v>
      </c>
      <c r="D359" s="6" t="s">
        <v>1773</v>
      </c>
      <c r="E359" s="6" t="s">
        <v>1774</v>
      </c>
      <c r="F359" s="6" t="s">
        <v>33</v>
      </c>
      <c r="G359" s="6" t="s">
        <v>147</v>
      </c>
      <c r="H359" s="6"/>
      <c r="I359" s="6"/>
      <c r="J359" s="6"/>
      <c r="K359" s="6"/>
      <c r="L359" s="6" t="n">
        <v>1</v>
      </c>
      <c r="M359" s="6"/>
      <c r="N359" s="6" t="s">
        <v>1100</v>
      </c>
      <c r="O359" s="6" t="s">
        <v>147</v>
      </c>
    </row>
    <row r="360" customFormat="false" ht="15" hidden="false" customHeight="false" outlineLevel="0" collapsed="false">
      <c r="A360" s="6" t="n">
        <v>357</v>
      </c>
      <c r="B360" s="6" t="s">
        <v>1002</v>
      </c>
      <c r="C360" s="6" t="n">
        <v>2021</v>
      </c>
      <c r="D360" s="6" t="s">
        <v>268</v>
      </c>
      <c r="E360" s="6" t="s">
        <v>267</v>
      </c>
      <c r="F360" s="6" t="s">
        <v>146</v>
      </c>
      <c r="G360" s="6" t="s">
        <v>146</v>
      </c>
      <c r="H360" s="6"/>
      <c r="I360" s="6" t="n">
        <v>1</v>
      </c>
      <c r="J360" s="6" t="n">
        <v>1</v>
      </c>
      <c r="K360" s="6"/>
      <c r="L360" s="6" t="n">
        <v>1</v>
      </c>
      <c r="M360" s="6"/>
      <c r="N360" s="6" t="s">
        <v>1100</v>
      </c>
      <c r="O360" s="6" t="s">
        <v>146</v>
      </c>
    </row>
    <row r="361" customFormat="false" ht="15" hidden="false" customHeight="false" outlineLevel="0" collapsed="false">
      <c r="A361" s="6" t="n">
        <v>358</v>
      </c>
      <c r="B361" s="6" t="s">
        <v>1775</v>
      </c>
      <c r="C361" s="6" t="n">
        <v>2021</v>
      </c>
      <c r="D361" s="6" t="s">
        <v>1776</v>
      </c>
      <c r="E361" s="6" t="s">
        <v>1777</v>
      </c>
      <c r="F361" s="6" t="s">
        <v>33</v>
      </c>
      <c r="G361" s="6" t="s">
        <v>147</v>
      </c>
      <c r="H361" s="6"/>
      <c r="I361" s="6" t="n">
        <v>1</v>
      </c>
      <c r="J361" s="6"/>
      <c r="K361" s="6"/>
      <c r="L361" s="6"/>
      <c r="M361" s="6"/>
      <c r="N361" s="6" t="s">
        <v>1100</v>
      </c>
      <c r="O361" s="6" t="s">
        <v>147</v>
      </c>
    </row>
    <row r="362" customFormat="false" ht="15" hidden="false" customHeight="false" outlineLevel="0" collapsed="false">
      <c r="A362" s="6" t="n">
        <v>359</v>
      </c>
      <c r="B362" s="6" t="s">
        <v>1778</v>
      </c>
      <c r="C362" s="6" t="n">
        <v>2021</v>
      </c>
      <c r="D362" s="6" t="s">
        <v>1779</v>
      </c>
      <c r="E362" s="6" t="s">
        <v>1600</v>
      </c>
      <c r="F362" s="6" t="s">
        <v>33</v>
      </c>
      <c r="G362" s="6" t="s">
        <v>147</v>
      </c>
      <c r="H362" s="6"/>
      <c r="I362" s="6"/>
      <c r="J362" s="6"/>
      <c r="K362" s="6"/>
      <c r="L362" s="6"/>
      <c r="M362" s="6"/>
      <c r="N362" s="6" t="s">
        <v>1100</v>
      </c>
      <c r="O362" s="6" t="s">
        <v>147</v>
      </c>
    </row>
    <row r="363" customFormat="false" ht="15" hidden="false" customHeight="false" outlineLevel="0" collapsed="false">
      <c r="A363" s="6" t="n">
        <v>360</v>
      </c>
      <c r="B363" s="6" t="s">
        <v>982</v>
      </c>
      <c r="C363" s="6" t="n">
        <v>2021</v>
      </c>
      <c r="D363" s="6" t="s">
        <v>985</v>
      </c>
      <c r="E363" s="6" t="s">
        <v>314</v>
      </c>
      <c r="F363" s="6" t="s">
        <v>146</v>
      </c>
      <c r="G363" s="6" t="s">
        <v>147</v>
      </c>
      <c r="H363" s="6"/>
      <c r="I363" s="6" t="n">
        <v>1</v>
      </c>
      <c r="J363" s="6"/>
      <c r="K363" s="6" t="n">
        <v>1</v>
      </c>
      <c r="L363" s="6" t="n">
        <v>1</v>
      </c>
      <c r="M363" s="6" t="n">
        <v>1</v>
      </c>
      <c r="N363" s="6" t="s">
        <v>1187</v>
      </c>
      <c r="O363" s="6" t="s">
        <v>146</v>
      </c>
    </row>
    <row r="364" customFormat="false" ht="15" hidden="false" customHeight="false" outlineLevel="0" collapsed="false">
      <c r="A364" s="6" t="n">
        <v>361</v>
      </c>
      <c r="B364" s="6" t="s">
        <v>752</v>
      </c>
      <c r="C364" s="6" t="n">
        <v>2021</v>
      </c>
      <c r="D364" s="6" t="s">
        <v>755</v>
      </c>
      <c r="E364" s="6" t="s">
        <v>314</v>
      </c>
      <c r="F364" s="6" t="s">
        <v>146</v>
      </c>
      <c r="G364" s="6" t="s">
        <v>147</v>
      </c>
      <c r="H364" s="6"/>
      <c r="I364" s="6"/>
      <c r="J364" s="6" t="n">
        <v>1</v>
      </c>
      <c r="K364" s="6" t="n">
        <v>1</v>
      </c>
      <c r="L364" s="6" t="n">
        <v>1</v>
      </c>
      <c r="M364" s="6" t="n">
        <v>1</v>
      </c>
      <c r="N364" s="6" t="s">
        <v>1187</v>
      </c>
      <c r="O364" s="6" t="s">
        <v>146</v>
      </c>
    </row>
    <row r="365" customFormat="false" ht="15" hidden="false" customHeight="false" outlineLevel="0" collapsed="false">
      <c r="A365" s="6" t="n">
        <v>362</v>
      </c>
      <c r="B365" s="6" t="s">
        <v>310</v>
      </c>
      <c r="C365" s="6" t="n">
        <v>2021</v>
      </c>
      <c r="D365" s="6" t="s">
        <v>313</v>
      </c>
      <c r="E365" s="6" t="s">
        <v>314</v>
      </c>
      <c r="F365" s="6" t="s">
        <v>146</v>
      </c>
      <c r="G365" s="6" t="s">
        <v>146</v>
      </c>
      <c r="H365" s="6"/>
      <c r="I365" s="6" t="n">
        <v>1</v>
      </c>
      <c r="J365" s="6" t="n">
        <v>1</v>
      </c>
      <c r="K365" s="6"/>
      <c r="L365" s="6" t="n">
        <v>1</v>
      </c>
      <c r="M365" s="6"/>
      <c r="N365" s="6" t="s">
        <v>1100</v>
      </c>
      <c r="O365" s="6" t="s">
        <v>146</v>
      </c>
    </row>
    <row r="366" customFormat="false" ht="15" hidden="false" customHeight="false" outlineLevel="0" collapsed="false">
      <c r="A366" s="6" t="n">
        <v>363</v>
      </c>
      <c r="B366" s="6" t="s">
        <v>588</v>
      </c>
      <c r="C366" s="6" t="n">
        <v>2021</v>
      </c>
      <c r="D366" s="6" t="s">
        <v>591</v>
      </c>
      <c r="E366" s="6" t="s">
        <v>314</v>
      </c>
      <c r="F366" s="6" t="s">
        <v>146</v>
      </c>
      <c r="G366" s="6" t="s">
        <v>146</v>
      </c>
      <c r="H366" s="6"/>
      <c r="I366" s="6" t="n">
        <v>1</v>
      </c>
      <c r="J366" s="6" t="n">
        <v>1</v>
      </c>
      <c r="K366" s="6" t="n">
        <v>1</v>
      </c>
      <c r="L366" s="6" t="n">
        <v>1</v>
      </c>
      <c r="M366" s="6"/>
      <c r="N366" s="6" t="s">
        <v>1100</v>
      </c>
      <c r="O366" s="6" t="s">
        <v>146</v>
      </c>
    </row>
    <row r="367" customFormat="false" ht="15" hidden="false" customHeight="false" outlineLevel="0" collapsed="false">
      <c r="A367" s="6" t="n">
        <v>364</v>
      </c>
      <c r="B367" s="6" t="s">
        <v>1780</v>
      </c>
      <c r="C367" s="6" t="n">
        <v>2021</v>
      </c>
      <c r="D367" s="6" t="s">
        <v>1781</v>
      </c>
      <c r="E367" s="6" t="s">
        <v>314</v>
      </c>
      <c r="F367" s="6" t="s">
        <v>33</v>
      </c>
      <c r="G367" s="6" t="s">
        <v>146</v>
      </c>
      <c r="H367" s="6" t="n">
        <v>1</v>
      </c>
      <c r="I367" s="6"/>
      <c r="J367" s="6"/>
      <c r="K367" s="6"/>
      <c r="L367" s="6"/>
      <c r="M367" s="6" t="n">
        <v>1</v>
      </c>
      <c r="N367" s="6" t="s">
        <v>1183</v>
      </c>
      <c r="O367" s="6" t="s">
        <v>147</v>
      </c>
    </row>
    <row r="368" customFormat="false" ht="15" hidden="false" customHeight="false" outlineLevel="0" collapsed="false">
      <c r="A368" s="6" t="n">
        <v>365</v>
      </c>
      <c r="B368" s="6" t="s">
        <v>1782</v>
      </c>
      <c r="C368" s="6" t="n">
        <v>2021</v>
      </c>
      <c r="D368" s="6" t="s">
        <v>1783</v>
      </c>
      <c r="E368" s="6" t="s">
        <v>1749</v>
      </c>
      <c r="F368" s="6" t="s">
        <v>33</v>
      </c>
      <c r="G368" s="6" t="s">
        <v>147</v>
      </c>
      <c r="H368" s="6"/>
      <c r="I368" s="6"/>
      <c r="J368" s="6"/>
      <c r="K368" s="6"/>
      <c r="L368" s="6" t="n">
        <v>1</v>
      </c>
      <c r="M368" s="6"/>
      <c r="N368" s="6" t="s">
        <v>1100</v>
      </c>
      <c r="O368" s="6" t="s">
        <v>147</v>
      </c>
    </row>
    <row r="369" customFormat="false" ht="15" hidden="false" customHeight="false" outlineLevel="0" collapsed="false">
      <c r="A369" s="6" t="n">
        <v>366</v>
      </c>
      <c r="B369" s="6" t="s">
        <v>1784</v>
      </c>
      <c r="C369" s="6" t="n">
        <v>2021</v>
      </c>
      <c r="D369" s="6" t="s">
        <v>1785</v>
      </c>
      <c r="E369" s="6" t="s">
        <v>1755</v>
      </c>
      <c r="F369" s="6" t="s">
        <v>33</v>
      </c>
      <c r="G369" s="6" t="s">
        <v>147</v>
      </c>
      <c r="H369" s="6"/>
      <c r="I369" s="6"/>
      <c r="J369" s="6"/>
      <c r="K369" s="6"/>
      <c r="L369" s="6"/>
      <c r="M369" s="6"/>
      <c r="N369" s="6" t="s">
        <v>1100</v>
      </c>
      <c r="O369" s="6" t="s">
        <v>147</v>
      </c>
    </row>
    <row r="370" customFormat="false" ht="15" hidden="false" customHeight="false" outlineLevel="0" collapsed="false">
      <c r="A370" s="6" t="n">
        <v>367</v>
      </c>
      <c r="B370" s="6" t="s">
        <v>1786</v>
      </c>
      <c r="C370" s="6" t="n">
        <v>2021</v>
      </c>
      <c r="D370" s="6" t="s">
        <v>1787</v>
      </c>
      <c r="E370" s="6" t="s">
        <v>1788</v>
      </c>
      <c r="F370" s="6" t="s">
        <v>33</v>
      </c>
      <c r="G370" s="6" t="s">
        <v>147</v>
      </c>
      <c r="H370" s="6"/>
      <c r="I370" s="6"/>
      <c r="J370" s="6"/>
      <c r="K370" s="6"/>
      <c r="L370" s="6" t="n">
        <v>1</v>
      </c>
      <c r="M370" s="6"/>
      <c r="N370" s="6" t="s">
        <v>1100</v>
      </c>
      <c r="O370" s="6" t="s">
        <v>147</v>
      </c>
    </row>
    <row r="371" customFormat="false" ht="15" hidden="false" customHeight="false" outlineLevel="0" collapsed="false">
      <c r="A371" s="6" t="n">
        <v>368</v>
      </c>
      <c r="B371" s="6" t="s">
        <v>1789</v>
      </c>
      <c r="C371" s="6" t="n">
        <v>2021</v>
      </c>
      <c r="D371" s="6" t="s">
        <v>1790</v>
      </c>
      <c r="E371" s="6" t="s">
        <v>1791</v>
      </c>
      <c r="F371" s="6" t="s">
        <v>33</v>
      </c>
      <c r="G371" s="6" t="s">
        <v>147</v>
      </c>
      <c r="H371" s="6"/>
      <c r="I371" s="6"/>
      <c r="J371" s="6" t="n">
        <v>1</v>
      </c>
      <c r="K371" s="6"/>
      <c r="L371" s="6" t="n">
        <v>1</v>
      </c>
      <c r="M371" s="6"/>
      <c r="N371" s="6" t="s">
        <v>1100</v>
      </c>
      <c r="O371" s="6" t="s">
        <v>147</v>
      </c>
    </row>
    <row r="372" customFormat="false" ht="15" hidden="false" customHeight="false" outlineLevel="0" collapsed="false">
      <c r="A372" s="6" t="n">
        <v>369</v>
      </c>
      <c r="B372" s="6" t="s">
        <v>301</v>
      </c>
      <c r="C372" s="6" t="n">
        <v>2020</v>
      </c>
      <c r="D372" s="6" t="s">
        <v>304</v>
      </c>
      <c r="E372" s="6" t="s">
        <v>305</v>
      </c>
      <c r="F372" s="6" t="s">
        <v>33</v>
      </c>
      <c r="G372" s="6" t="s">
        <v>146</v>
      </c>
      <c r="H372" s="6"/>
      <c r="I372" s="6" t="n">
        <v>1</v>
      </c>
      <c r="J372" s="6" t="n">
        <v>1</v>
      </c>
      <c r="K372" s="6"/>
      <c r="L372" s="6" t="n">
        <v>1</v>
      </c>
      <c r="M372" s="6" t="n">
        <v>1</v>
      </c>
      <c r="N372" s="6" t="s">
        <v>1101</v>
      </c>
      <c r="O372" s="6" t="s">
        <v>146</v>
      </c>
    </row>
    <row r="373" customFormat="false" ht="15" hidden="false" customHeight="false" outlineLevel="0" collapsed="false">
      <c r="A373" s="6" t="n">
        <v>370</v>
      </c>
      <c r="B373" s="6" t="s">
        <v>1792</v>
      </c>
      <c r="C373" s="6" t="n">
        <v>2020</v>
      </c>
      <c r="D373" s="6" t="s">
        <v>1793</v>
      </c>
      <c r="E373" s="6" t="s">
        <v>1794</v>
      </c>
      <c r="F373" s="6" t="s">
        <v>33</v>
      </c>
      <c r="G373" s="6" t="s">
        <v>147</v>
      </c>
      <c r="H373" s="6"/>
      <c r="I373" s="6"/>
      <c r="J373" s="6"/>
      <c r="K373" s="6"/>
      <c r="L373" s="6"/>
      <c r="M373" s="6"/>
      <c r="N373" s="6" t="s">
        <v>1100</v>
      </c>
      <c r="O373" s="6" t="s">
        <v>147</v>
      </c>
    </row>
    <row r="374" customFormat="false" ht="15" hidden="false" customHeight="false" outlineLevel="0" collapsed="false">
      <c r="A374" s="6" t="n">
        <v>371</v>
      </c>
      <c r="B374" s="6" t="s">
        <v>1795</v>
      </c>
      <c r="C374" s="6" t="n">
        <v>2020</v>
      </c>
      <c r="D374" s="6" t="s">
        <v>1796</v>
      </c>
      <c r="E374" s="6" t="s">
        <v>535</v>
      </c>
      <c r="F374" s="6" t="s">
        <v>34</v>
      </c>
      <c r="G374" s="6" t="s">
        <v>147</v>
      </c>
      <c r="H374" s="6"/>
      <c r="I374" s="6"/>
      <c r="J374" s="6" t="n">
        <v>1</v>
      </c>
      <c r="K374" s="6"/>
      <c r="L374" s="6"/>
      <c r="M374" s="6"/>
      <c r="N374" s="6" t="s">
        <v>1165</v>
      </c>
      <c r="O374" s="6" t="s">
        <v>147</v>
      </c>
    </row>
    <row r="375" customFormat="false" ht="15" hidden="false" customHeight="false" outlineLevel="0" collapsed="false">
      <c r="A375" s="6" t="n">
        <v>372</v>
      </c>
      <c r="B375" s="6" t="s">
        <v>1797</v>
      </c>
      <c r="C375" s="6" t="n">
        <v>2020</v>
      </c>
      <c r="D375" s="6" t="s">
        <v>1798</v>
      </c>
      <c r="E375" s="6" t="s">
        <v>535</v>
      </c>
      <c r="F375" s="6" t="s">
        <v>33</v>
      </c>
      <c r="G375" s="6" t="s">
        <v>147</v>
      </c>
      <c r="H375" s="6"/>
      <c r="I375" s="6"/>
      <c r="J375" s="6" t="n">
        <v>1</v>
      </c>
      <c r="K375" s="6"/>
      <c r="L375" s="6"/>
      <c r="M375" s="6"/>
      <c r="N375" s="6" t="s">
        <v>1100</v>
      </c>
      <c r="O375" s="6" t="s">
        <v>147</v>
      </c>
    </row>
    <row r="376" customFormat="false" ht="15" hidden="false" customHeight="false" outlineLevel="0" collapsed="false">
      <c r="A376" s="6" t="n">
        <v>373</v>
      </c>
      <c r="B376" s="6" t="s">
        <v>1799</v>
      </c>
      <c r="C376" s="6" t="n">
        <v>2020</v>
      </c>
      <c r="D376" s="6" t="s">
        <v>1800</v>
      </c>
      <c r="E376" s="6" t="s">
        <v>535</v>
      </c>
      <c r="F376" s="6" t="s">
        <v>33</v>
      </c>
      <c r="G376" s="6" t="s">
        <v>147</v>
      </c>
      <c r="H376" s="6"/>
      <c r="I376" s="6"/>
      <c r="J376" s="6" t="n">
        <v>1</v>
      </c>
      <c r="K376" s="6"/>
      <c r="L376" s="6"/>
      <c r="M376" s="6"/>
      <c r="N376" s="6" t="s">
        <v>1100</v>
      </c>
      <c r="O376" s="6" t="s">
        <v>147</v>
      </c>
    </row>
    <row r="377" customFormat="false" ht="15" hidden="false" customHeight="false" outlineLevel="0" collapsed="false">
      <c r="A377" s="6" t="n">
        <v>374</v>
      </c>
      <c r="B377" s="6" t="s">
        <v>1801</v>
      </c>
      <c r="C377" s="6" t="n">
        <v>2020</v>
      </c>
      <c r="D377" s="6" t="s">
        <v>1802</v>
      </c>
      <c r="E377" s="6" t="s">
        <v>535</v>
      </c>
      <c r="F377" s="6" t="s">
        <v>33</v>
      </c>
      <c r="G377" s="6" t="s">
        <v>147</v>
      </c>
      <c r="H377" s="6"/>
      <c r="I377" s="6"/>
      <c r="J377" s="6"/>
      <c r="K377" s="6"/>
      <c r="L377" s="6"/>
      <c r="M377" s="6"/>
      <c r="N377" s="6" t="s">
        <v>1100</v>
      </c>
      <c r="O377" s="6" t="s">
        <v>147</v>
      </c>
    </row>
    <row r="378" customFormat="false" ht="15" hidden="false" customHeight="false" outlineLevel="0" collapsed="false">
      <c r="A378" s="6" t="n">
        <v>375</v>
      </c>
      <c r="B378" s="6" t="s">
        <v>1803</v>
      </c>
      <c r="C378" s="6" t="n">
        <v>2020</v>
      </c>
      <c r="D378" s="6" t="s">
        <v>1804</v>
      </c>
      <c r="E378" s="6" t="s">
        <v>535</v>
      </c>
      <c r="F378" s="6" t="s">
        <v>33</v>
      </c>
      <c r="G378" s="6" t="s">
        <v>147</v>
      </c>
      <c r="H378" s="6"/>
      <c r="I378" s="6"/>
      <c r="J378" s="6"/>
      <c r="K378" s="6"/>
      <c r="L378" s="6" t="n">
        <v>1</v>
      </c>
      <c r="M378" s="6"/>
      <c r="N378" s="6" t="s">
        <v>1100</v>
      </c>
      <c r="O378" s="6" t="s">
        <v>147</v>
      </c>
    </row>
    <row r="379" customFormat="false" ht="15" hidden="false" customHeight="false" outlineLevel="0" collapsed="false">
      <c r="A379" s="6" t="n">
        <v>376</v>
      </c>
      <c r="B379" s="6" t="s">
        <v>1805</v>
      </c>
      <c r="C379" s="6" t="n">
        <v>2020</v>
      </c>
      <c r="D379" s="6" t="s">
        <v>1806</v>
      </c>
      <c r="E379" s="6" t="s">
        <v>1807</v>
      </c>
      <c r="F379" s="6" t="s">
        <v>33</v>
      </c>
      <c r="G379" s="6" t="s">
        <v>147</v>
      </c>
      <c r="H379" s="6"/>
      <c r="I379" s="6"/>
      <c r="J379" s="6" t="n">
        <v>1</v>
      </c>
      <c r="K379" s="6"/>
      <c r="L379" s="6"/>
      <c r="M379" s="6"/>
      <c r="N379" s="6" t="s">
        <v>1100</v>
      </c>
      <c r="O379" s="6" t="s">
        <v>147</v>
      </c>
    </row>
    <row r="380" customFormat="false" ht="15" hidden="false" customHeight="false" outlineLevel="0" collapsed="false">
      <c r="A380" s="6" t="n">
        <v>377</v>
      </c>
      <c r="B380" s="6" t="s">
        <v>1808</v>
      </c>
      <c r="C380" s="6" t="n">
        <v>2020</v>
      </c>
      <c r="D380" s="6" t="s">
        <v>1809</v>
      </c>
      <c r="E380" s="6" t="s">
        <v>1810</v>
      </c>
      <c r="F380" s="6" t="s">
        <v>33</v>
      </c>
      <c r="G380" s="6" t="s">
        <v>147</v>
      </c>
      <c r="H380" s="6"/>
      <c r="I380" s="6"/>
      <c r="J380" s="6" t="n">
        <v>1</v>
      </c>
      <c r="K380" s="6"/>
      <c r="L380" s="6"/>
      <c r="M380" s="6"/>
      <c r="N380" s="6" t="s">
        <v>1100</v>
      </c>
      <c r="O380" s="6" t="s">
        <v>147</v>
      </c>
    </row>
    <row r="381" customFormat="false" ht="15" hidden="false" customHeight="false" outlineLevel="0" collapsed="false">
      <c r="A381" s="6" t="n">
        <v>378</v>
      </c>
      <c r="B381" s="6" t="s">
        <v>1811</v>
      </c>
      <c r="C381" s="6" t="n">
        <v>2020</v>
      </c>
      <c r="D381" s="6" t="s">
        <v>1812</v>
      </c>
      <c r="E381" s="6" t="s">
        <v>535</v>
      </c>
      <c r="F381" s="6" t="s">
        <v>33</v>
      </c>
      <c r="G381" s="6" t="s">
        <v>147</v>
      </c>
      <c r="H381" s="6"/>
      <c r="I381" s="6"/>
      <c r="J381" s="6" t="n">
        <v>1</v>
      </c>
      <c r="K381" s="6"/>
      <c r="L381" s="6"/>
      <c r="M381" s="6"/>
      <c r="N381" s="6" t="s">
        <v>1100</v>
      </c>
      <c r="O381" s="6" t="s">
        <v>147</v>
      </c>
    </row>
    <row r="382" customFormat="false" ht="15" hidden="false" customHeight="false" outlineLevel="0" collapsed="false">
      <c r="A382" s="6" t="n">
        <v>379</v>
      </c>
      <c r="B382" s="6" t="s">
        <v>1813</v>
      </c>
      <c r="C382" s="6" t="n">
        <v>2020</v>
      </c>
      <c r="D382" s="6" t="s">
        <v>1814</v>
      </c>
      <c r="E382" s="6" t="s">
        <v>1815</v>
      </c>
      <c r="F382" s="6" t="s">
        <v>33</v>
      </c>
      <c r="G382" s="6" t="s">
        <v>147</v>
      </c>
      <c r="H382" s="6"/>
      <c r="I382" s="6"/>
      <c r="J382" s="6"/>
      <c r="K382" s="6"/>
      <c r="L382" s="6"/>
      <c r="M382" s="6"/>
      <c r="N382" s="6" t="s">
        <v>1100</v>
      </c>
      <c r="O382" s="6" t="s">
        <v>147</v>
      </c>
    </row>
    <row r="383" customFormat="false" ht="15" hidden="false" customHeight="false" outlineLevel="0" collapsed="false">
      <c r="A383" s="6" t="n">
        <v>380</v>
      </c>
      <c r="B383" s="6" t="s">
        <v>377</v>
      </c>
      <c r="C383" s="6" t="n">
        <v>2020</v>
      </c>
      <c r="D383" s="6" t="s">
        <v>380</v>
      </c>
      <c r="E383" s="6" t="s">
        <v>381</v>
      </c>
      <c r="F383" s="6" t="s">
        <v>146</v>
      </c>
      <c r="G383" s="6" t="s">
        <v>146</v>
      </c>
      <c r="H383" s="6" t="n">
        <v>1</v>
      </c>
      <c r="I383" s="6" t="n">
        <v>1</v>
      </c>
      <c r="J383" s="6"/>
      <c r="K383" s="6"/>
      <c r="L383" s="6" t="n">
        <v>1</v>
      </c>
      <c r="M383" s="6"/>
      <c r="N383" s="6" t="s">
        <v>1100</v>
      </c>
      <c r="O383" s="6" t="s">
        <v>146</v>
      </c>
    </row>
    <row r="384" customFormat="false" ht="15" hidden="false" customHeight="false" outlineLevel="0" collapsed="false">
      <c r="A384" s="6" t="n">
        <v>381</v>
      </c>
      <c r="B384" s="6" t="s">
        <v>1816</v>
      </c>
      <c r="C384" s="6" t="n">
        <v>2020</v>
      </c>
      <c r="D384" s="6" t="s">
        <v>1817</v>
      </c>
      <c r="E384" s="6" t="s">
        <v>535</v>
      </c>
      <c r="F384" s="6" t="s">
        <v>33</v>
      </c>
      <c r="G384" s="6" t="s">
        <v>147</v>
      </c>
      <c r="H384" s="6"/>
      <c r="I384" s="6"/>
      <c r="J384" s="6" t="n">
        <v>1</v>
      </c>
      <c r="K384" s="6"/>
      <c r="L384" s="6"/>
      <c r="M384" s="6"/>
      <c r="N384" s="6" t="s">
        <v>1100</v>
      </c>
      <c r="O384" s="6" t="s">
        <v>147</v>
      </c>
    </row>
    <row r="385" customFormat="false" ht="15" hidden="false" customHeight="false" outlineLevel="0" collapsed="false">
      <c r="A385" s="6" t="n">
        <v>382</v>
      </c>
      <c r="B385" s="6" t="s">
        <v>1818</v>
      </c>
      <c r="C385" s="6" t="n">
        <v>2020</v>
      </c>
      <c r="D385" s="6" t="s">
        <v>1819</v>
      </c>
      <c r="E385" s="6" t="s">
        <v>1820</v>
      </c>
      <c r="F385" s="6" t="s">
        <v>33</v>
      </c>
      <c r="G385" s="6" t="s">
        <v>147</v>
      </c>
      <c r="H385" s="6"/>
      <c r="I385" s="6"/>
      <c r="J385" s="6"/>
      <c r="K385" s="6"/>
      <c r="L385" s="6"/>
      <c r="M385" s="6"/>
      <c r="N385" s="6" t="s">
        <v>1100</v>
      </c>
      <c r="O385" s="6" t="s">
        <v>147</v>
      </c>
    </row>
    <row r="386" customFormat="false" ht="15" hidden="false" customHeight="false" outlineLevel="0" collapsed="false">
      <c r="A386" s="6" t="n">
        <v>383</v>
      </c>
      <c r="B386" s="6" t="s">
        <v>656</v>
      </c>
      <c r="C386" s="6" t="n">
        <v>2020</v>
      </c>
      <c r="D386" s="6" t="s">
        <v>659</v>
      </c>
      <c r="E386" s="6" t="s">
        <v>660</v>
      </c>
      <c r="F386" s="6" t="s">
        <v>146</v>
      </c>
      <c r="G386" s="6" t="s">
        <v>146</v>
      </c>
      <c r="H386" s="6" t="n">
        <v>1</v>
      </c>
      <c r="I386" s="6" t="n">
        <v>1</v>
      </c>
      <c r="J386" s="6" t="n">
        <v>1</v>
      </c>
      <c r="K386" s="6"/>
      <c r="L386" s="6" t="n">
        <v>1</v>
      </c>
      <c r="M386" s="6"/>
      <c r="N386" s="6" t="s">
        <v>1100</v>
      </c>
      <c r="O386" s="6" t="s">
        <v>146</v>
      </c>
    </row>
    <row r="387" customFormat="false" ht="15" hidden="false" customHeight="false" outlineLevel="0" collapsed="false">
      <c r="A387" s="6" t="n">
        <v>384</v>
      </c>
      <c r="B387" s="6" t="s">
        <v>959</v>
      </c>
      <c r="C387" s="6" t="n">
        <v>2020</v>
      </c>
      <c r="D387" s="6" t="s">
        <v>962</v>
      </c>
      <c r="E387" s="6" t="s">
        <v>963</v>
      </c>
      <c r="F387" s="6" t="s">
        <v>146</v>
      </c>
      <c r="G387" s="6" t="s">
        <v>146</v>
      </c>
      <c r="H387" s="6" t="n">
        <v>1</v>
      </c>
      <c r="I387" s="6"/>
      <c r="J387" s="6" t="n">
        <v>1</v>
      </c>
      <c r="K387" s="6" t="n">
        <v>1</v>
      </c>
      <c r="L387" s="6" t="n">
        <v>1</v>
      </c>
      <c r="M387" s="6"/>
      <c r="N387" s="6" t="s">
        <v>1100</v>
      </c>
      <c r="O387" s="6" t="s">
        <v>146</v>
      </c>
    </row>
    <row r="388" customFormat="false" ht="15" hidden="false" customHeight="false" outlineLevel="0" collapsed="false">
      <c r="A388" s="6" t="n">
        <v>385</v>
      </c>
      <c r="B388" s="6" t="s">
        <v>1821</v>
      </c>
      <c r="C388" s="6" t="n">
        <v>2020</v>
      </c>
      <c r="D388" s="6" t="s">
        <v>1822</v>
      </c>
      <c r="E388" s="6" t="s">
        <v>1823</v>
      </c>
      <c r="F388" s="6" t="s">
        <v>33</v>
      </c>
      <c r="G388" s="6" t="s">
        <v>147</v>
      </c>
      <c r="H388" s="6"/>
      <c r="I388" s="6"/>
      <c r="J388" s="6"/>
      <c r="K388" s="6"/>
      <c r="L388" s="6" t="n">
        <v>1</v>
      </c>
      <c r="M388" s="6"/>
      <c r="N388" s="6" t="s">
        <v>1100</v>
      </c>
      <c r="O388" s="6" t="s">
        <v>147</v>
      </c>
    </row>
    <row r="389" customFormat="false" ht="15" hidden="false" customHeight="false" outlineLevel="0" collapsed="false">
      <c r="A389" s="6" t="n">
        <v>386</v>
      </c>
      <c r="B389" s="6" t="s">
        <v>1824</v>
      </c>
      <c r="C389" s="6" t="n">
        <v>2020</v>
      </c>
      <c r="D389" s="6" t="s">
        <v>1825</v>
      </c>
      <c r="E389" s="6" t="s">
        <v>1600</v>
      </c>
      <c r="F389" s="6" t="s">
        <v>33</v>
      </c>
      <c r="G389" s="6" t="s">
        <v>147</v>
      </c>
      <c r="H389" s="6"/>
      <c r="I389" s="6"/>
      <c r="J389" s="6" t="n">
        <v>1</v>
      </c>
      <c r="K389" s="6"/>
      <c r="L389" s="6"/>
      <c r="M389" s="6"/>
      <c r="N389" s="6" t="s">
        <v>1100</v>
      </c>
      <c r="O389" s="6" t="s">
        <v>147</v>
      </c>
    </row>
    <row r="390" customFormat="false" ht="15" hidden="false" customHeight="false" outlineLevel="0" collapsed="false">
      <c r="A390" s="6" t="n">
        <v>387</v>
      </c>
      <c r="B390" s="6" t="s">
        <v>1826</v>
      </c>
      <c r="C390" s="6" t="n">
        <v>2020</v>
      </c>
      <c r="D390" s="6" t="s">
        <v>1827</v>
      </c>
      <c r="E390" s="6" t="s">
        <v>255</v>
      </c>
      <c r="F390" s="6" t="s">
        <v>33</v>
      </c>
      <c r="G390" s="6" t="s">
        <v>147</v>
      </c>
      <c r="H390" s="6"/>
      <c r="I390" s="6"/>
      <c r="J390" s="6"/>
      <c r="K390" s="6"/>
      <c r="L390" s="6" t="n">
        <v>1</v>
      </c>
      <c r="M390" s="6"/>
      <c r="N390" s="6" t="s">
        <v>1100</v>
      </c>
      <c r="O390" s="6" t="s">
        <v>147</v>
      </c>
    </row>
    <row r="391" customFormat="false" ht="15" hidden="false" customHeight="false" outlineLevel="0" collapsed="false">
      <c r="A391" s="6" t="n">
        <v>388</v>
      </c>
      <c r="B391" s="6" t="s">
        <v>1828</v>
      </c>
      <c r="C391" s="6" t="n">
        <v>2020</v>
      </c>
      <c r="D391" s="6" t="s">
        <v>1829</v>
      </c>
      <c r="E391" s="6" t="s">
        <v>535</v>
      </c>
      <c r="F391" s="6" t="s">
        <v>34</v>
      </c>
      <c r="G391" s="6" t="s">
        <v>147</v>
      </c>
      <c r="H391" s="6"/>
      <c r="I391" s="6"/>
      <c r="J391" s="6"/>
      <c r="K391" s="6"/>
      <c r="L391" s="6"/>
      <c r="M391" s="6"/>
      <c r="N391" s="6" t="s">
        <v>1165</v>
      </c>
      <c r="O391" s="6" t="s">
        <v>147</v>
      </c>
    </row>
    <row r="392" customFormat="false" ht="15" hidden="false" customHeight="false" outlineLevel="0" collapsed="false">
      <c r="A392" s="6" t="n">
        <v>389</v>
      </c>
      <c r="B392" s="6" t="s">
        <v>1830</v>
      </c>
      <c r="C392" s="6" t="n">
        <v>2020</v>
      </c>
      <c r="D392" s="6" t="s">
        <v>1831</v>
      </c>
      <c r="E392" s="6" t="s">
        <v>1832</v>
      </c>
      <c r="F392" s="6" t="s">
        <v>33</v>
      </c>
      <c r="G392" s="6" t="s">
        <v>147</v>
      </c>
      <c r="H392" s="6"/>
      <c r="I392" s="6"/>
      <c r="J392" s="6" t="n">
        <v>1</v>
      </c>
      <c r="K392" s="6"/>
      <c r="L392" s="6"/>
      <c r="M392" s="6"/>
      <c r="N392" s="6" t="s">
        <v>1100</v>
      </c>
      <c r="O392" s="6" t="s">
        <v>147</v>
      </c>
    </row>
    <row r="393" customFormat="false" ht="15" hidden="false" customHeight="false" outlineLevel="0" collapsed="false">
      <c r="A393" s="6" t="n">
        <v>390</v>
      </c>
      <c r="B393" s="6" t="s">
        <v>874</v>
      </c>
      <c r="C393" s="6" t="n">
        <v>2020</v>
      </c>
      <c r="D393" s="6" t="s">
        <v>877</v>
      </c>
      <c r="E393" s="6" t="s">
        <v>401</v>
      </c>
      <c r="F393" s="6" t="s">
        <v>33</v>
      </c>
      <c r="G393" s="6" t="s">
        <v>146</v>
      </c>
      <c r="H393" s="6" t="n">
        <v>1</v>
      </c>
      <c r="I393" s="6" t="n">
        <v>1</v>
      </c>
      <c r="J393" s="6"/>
      <c r="K393" s="6"/>
      <c r="L393" s="6" t="n">
        <v>1</v>
      </c>
      <c r="M393" s="6" t="n">
        <v>1</v>
      </c>
      <c r="N393" s="6" t="s">
        <v>1101</v>
      </c>
      <c r="O393" s="6" t="s">
        <v>146</v>
      </c>
    </row>
    <row r="394" customFormat="false" ht="15" hidden="false" customHeight="false" outlineLevel="0" collapsed="false">
      <c r="A394" s="6" t="n">
        <v>391</v>
      </c>
      <c r="B394" s="6" t="s">
        <v>849</v>
      </c>
      <c r="C394" s="6" t="n">
        <v>2020</v>
      </c>
      <c r="D394" s="6" t="s">
        <v>852</v>
      </c>
      <c r="E394" s="6" t="s">
        <v>827</v>
      </c>
      <c r="F394" s="6" t="s">
        <v>146</v>
      </c>
      <c r="G394" s="6" t="s">
        <v>146</v>
      </c>
      <c r="H394" s="6" t="n">
        <v>1</v>
      </c>
      <c r="I394" s="6" t="n">
        <v>1</v>
      </c>
      <c r="J394" s="6"/>
      <c r="K394" s="6"/>
      <c r="L394" s="6" t="n">
        <v>1</v>
      </c>
      <c r="M394" s="6"/>
      <c r="N394" s="6" t="s">
        <v>1100</v>
      </c>
      <c r="O394" s="6" t="s">
        <v>146</v>
      </c>
    </row>
    <row r="395" customFormat="false" ht="15" hidden="false" customHeight="false" outlineLevel="0" collapsed="false">
      <c r="A395" s="6" t="n">
        <v>392</v>
      </c>
      <c r="B395" s="6" t="s">
        <v>463</v>
      </c>
      <c r="C395" s="6" t="n">
        <v>2020</v>
      </c>
      <c r="D395" s="6" t="s">
        <v>252</v>
      </c>
      <c r="E395" s="6" t="s">
        <v>251</v>
      </c>
      <c r="F395" s="6" t="s">
        <v>146</v>
      </c>
      <c r="G395" s="6" t="s">
        <v>146</v>
      </c>
      <c r="H395" s="6" t="n">
        <v>1</v>
      </c>
      <c r="I395" s="6"/>
      <c r="J395" s="6" t="n">
        <v>1</v>
      </c>
      <c r="K395" s="6" t="n">
        <v>1</v>
      </c>
      <c r="L395" s="6" t="n">
        <v>1</v>
      </c>
      <c r="M395" s="6"/>
      <c r="N395" s="6" t="s">
        <v>1100</v>
      </c>
      <c r="O395" s="6" t="s">
        <v>146</v>
      </c>
    </row>
    <row r="396" customFormat="false" ht="15" hidden="false" customHeight="false" outlineLevel="0" collapsed="false">
      <c r="A396" s="6" t="n">
        <v>393</v>
      </c>
      <c r="B396" s="6" t="s">
        <v>915</v>
      </c>
      <c r="C396" s="6" t="n">
        <v>2020</v>
      </c>
      <c r="D396" s="6" t="s">
        <v>918</v>
      </c>
      <c r="E396" s="6" t="s">
        <v>919</v>
      </c>
      <c r="F396" s="6" t="s">
        <v>146</v>
      </c>
      <c r="G396" s="6" t="s">
        <v>146</v>
      </c>
      <c r="H396" s="6"/>
      <c r="I396" s="6" t="n">
        <v>1</v>
      </c>
      <c r="J396" s="6" t="n">
        <v>1</v>
      </c>
      <c r="K396" s="6"/>
      <c r="L396" s="6"/>
      <c r="M396" s="6"/>
      <c r="N396" s="6" t="s">
        <v>1100</v>
      </c>
      <c r="O396" s="6" t="s">
        <v>146</v>
      </c>
    </row>
    <row r="397" customFormat="false" ht="15" hidden="false" customHeight="false" outlineLevel="0" collapsed="false">
      <c r="A397" s="6" t="n">
        <v>394</v>
      </c>
      <c r="B397" s="6" t="s">
        <v>1833</v>
      </c>
      <c r="C397" s="6" t="n">
        <v>2020</v>
      </c>
      <c r="D397" s="6" t="s">
        <v>1834</v>
      </c>
      <c r="E397" s="6" t="s">
        <v>1835</v>
      </c>
      <c r="F397" s="6" t="s">
        <v>33</v>
      </c>
      <c r="G397" s="6" t="s">
        <v>147</v>
      </c>
      <c r="H397" s="6"/>
      <c r="I397" s="6" t="n">
        <v>1</v>
      </c>
      <c r="J397" s="6"/>
      <c r="K397" s="6"/>
      <c r="L397" s="6" t="n">
        <v>1</v>
      </c>
      <c r="M397" s="6"/>
      <c r="N397" s="6" t="s">
        <v>1100</v>
      </c>
      <c r="O397" s="6" t="s">
        <v>147</v>
      </c>
    </row>
    <row r="398" customFormat="false" ht="15" hidden="false" customHeight="false" outlineLevel="0" collapsed="false">
      <c r="A398" s="6" t="n">
        <v>395</v>
      </c>
      <c r="B398" s="6" t="s">
        <v>1836</v>
      </c>
      <c r="C398" s="6" t="n">
        <v>2020</v>
      </c>
      <c r="D398" s="6" t="s">
        <v>1837</v>
      </c>
      <c r="E398" s="6" t="s">
        <v>535</v>
      </c>
      <c r="F398" s="6" t="s">
        <v>33</v>
      </c>
      <c r="G398" s="6" t="s">
        <v>147</v>
      </c>
      <c r="H398" s="6"/>
      <c r="I398" s="6"/>
      <c r="J398" s="6" t="n">
        <v>1</v>
      </c>
      <c r="K398" s="6"/>
      <c r="L398" s="6"/>
      <c r="M398" s="6"/>
      <c r="N398" s="6" t="s">
        <v>1100</v>
      </c>
      <c r="O398" s="6" t="s">
        <v>147</v>
      </c>
    </row>
    <row r="399" customFormat="false" ht="15" hidden="false" customHeight="false" outlineLevel="0" collapsed="false">
      <c r="A399" s="6" t="n">
        <v>396</v>
      </c>
      <c r="B399" s="6" t="s">
        <v>1838</v>
      </c>
      <c r="C399" s="6" t="n">
        <v>2020</v>
      </c>
      <c r="D399" s="6" t="s">
        <v>1839</v>
      </c>
      <c r="E399" s="6" t="s">
        <v>535</v>
      </c>
      <c r="F399" s="6" t="s">
        <v>33</v>
      </c>
      <c r="G399" s="6" t="s">
        <v>147</v>
      </c>
      <c r="H399" s="6"/>
      <c r="I399" s="6"/>
      <c r="J399" s="6" t="n">
        <v>1</v>
      </c>
      <c r="K399" s="6"/>
      <c r="L399" s="6"/>
      <c r="M399" s="6"/>
      <c r="N399" s="6" t="s">
        <v>1100</v>
      </c>
      <c r="O399" s="6" t="s">
        <v>147</v>
      </c>
    </row>
    <row r="400" customFormat="false" ht="15" hidden="false" customHeight="false" outlineLevel="0" collapsed="false">
      <c r="A400" s="6" t="n">
        <v>397</v>
      </c>
      <c r="B400" s="6" t="s">
        <v>1840</v>
      </c>
      <c r="C400" s="6" t="n">
        <v>2019</v>
      </c>
      <c r="D400" s="6" t="s">
        <v>1841</v>
      </c>
      <c r="E400" s="6" t="s">
        <v>535</v>
      </c>
      <c r="F400" s="6" t="s">
        <v>33</v>
      </c>
      <c r="G400" s="6" t="s">
        <v>147</v>
      </c>
      <c r="H400" s="6"/>
      <c r="I400" s="6"/>
      <c r="J400" s="6"/>
      <c r="K400" s="6"/>
      <c r="L400" s="6"/>
      <c r="M400" s="6"/>
      <c r="N400" s="6" t="s">
        <v>1100</v>
      </c>
      <c r="O400" s="6" t="s">
        <v>147</v>
      </c>
    </row>
    <row r="401" customFormat="false" ht="15" hidden="false" customHeight="false" outlineLevel="0" collapsed="false">
      <c r="A401" s="6" t="n">
        <v>398</v>
      </c>
      <c r="B401" s="6" t="s">
        <v>1842</v>
      </c>
      <c r="C401" s="6" t="n">
        <v>2019</v>
      </c>
      <c r="D401" s="6" t="s">
        <v>1843</v>
      </c>
      <c r="E401" s="6" t="s">
        <v>535</v>
      </c>
      <c r="F401" s="6" t="s">
        <v>33</v>
      </c>
      <c r="G401" s="6" t="s">
        <v>147</v>
      </c>
      <c r="H401" s="6"/>
      <c r="I401" s="6"/>
      <c r="J401" s="6" t="n">
        <v>1</v>
      </c>
      <c r="K401" s="6"/>
      <c r="L401" s="6"/>
      <c r="M401" s="6"/>
      <c r="N401" s="6" t="s">
        <v>1100</v>
      </c>
      <c r="O401" s="6" t="s">
        <v>147</v>
      </c>
    </row>
    <row r="402" customFormat="false" ht="15" hidden="false" customHeight="false" outlineLevel="0" collapsed="false">
      <c r="A402" s="6" t="n">
        <v>399</v>
      </c>
      <c r="B402" s="6" t="s">
        <v>1844</v>
      </c>
      <c r="C402" s="6" t="n">
        <v>2019</v>
      </c>
      <c r="D402" s="6" t="s">
        <v>1845</v>
      </c>
      <c r="E402" s="6" t="s">
        <v>535</v>
      </c>
      <c r="F402" s="6" t="s">
        <v>33</v>
      </c>
      <c r="G402" s="6" t="s">
        <v>147</v>
      </c>
      <c r="H402" s="6"/>
      <c r="I402" s="6"/>
      <c r="J402" s="6" t="n">
        <v>1</v>
      </c>
      <c r="K402" s="6"/>
      <c r="L402" s="6"/>
      <c r="M402" s="6"/>
      <c r="N402" s="6" t="s">
        <v>1100</v>
      </c>
      <c r="O402" s="6" t="s">
        <v>147</v>
      </c>
    </row>
    <row r="403" customFormat="false" ht="15" hidden="false" customHeight="false" outlineLevel="0" collapsed="false">
      <c r="A403" s="6" t="n">
        <v>400</v>
      </c>
      <c r="B403" s="6" t="s">
        <v>1846</v>
      </c>
      <c r="C403" s="6" t="n">
        <v>2019</v>
      </c>
      <c r="D403" s="6" t="s">
        <v>1847</v>
      </c>
      <c r="E403" s="6" t="s">
        <v>535</v>
      </c>
      <c r="F403" s="6" t="s">
        <v>33</v>
      </c>
      <c r="G403" s="6" t="s">
        <v>147</v>
      </c>
      <c r="H403" s="6"/>
      <c r="I403" s="6"/>
      <c r="J403" s="6"/>
      <c r="K403" s="6"/>
      <c r="L403" s="6"/>
      <c r="M403" s="6"/>
      <c r="N403" s="6" t="s">
        <v>1100</v>
      </c>
      <c r="O403" s="6" t="s">
        <v>147</v>
      </c>
    </row>
    <row r="404" customFormat="false" ht="15" hidden="false" customHeight="false" outlineLevel="0" collapsed="false">
      <c r="A404" s="6" t="n">
        <v>401</v>
      </c>
      <c r="B404" s="6" t="s">
        <v>626</v>
      </c>
      <c r="C404" s="6" t="n">
        <v>2019</v>
      </c>
      <c r="D404" s="6" t="s">
        <v>244</v>
      </c>
      <c r="E404" s="6" t="s">
        <v>243</v>
      </c>
      <c r="F404" s="6" t="s">
        <v>146</v>
      </c>
      <c r="G404" s="6" t="s">
        <v>147</v>
      </c>
      <c r="H404" s="6"/>
      <c r="I404" s="6" t="n">
        <v>1</v>
      </c>
      <c r="J404" s="6"/>
      <c r="K404" s="6" t="n">
        <v>1</v>
      </c>
      <c r="L404" s="6" t="n">
        <v>1</v>
      </c>
      <c r="M404" s="6" t="n">
        <v>1</v>
      </c>
      <c r="N404" s="6" t="s">
        <v>1187</v>
      </c>
      <c r="O404" s="6" t="s">
        <v>146</v>
      </c>
    </row>
    <row r="405" customFormat="false" ht="15" hidden="false" customHeight="false" outlineLevel="0" collapsed="false">
      <c r="A405" s="6" t="n">
        <v>402</v>
      </c>
      <c r="B405" s="6" t="s">
        <v>1848</v>
      </c>
      <c r="C405" s="6" t="n">
        <v>2019</v>
      </c>
      <c r="D405" s="6" t="s">
        <v>1849</v>
      </c>
      <c r="E405" s="6" t="s">
        <v>1600</v>
      </c>
      <c r="F405" s="6" t="s">
        <v>33</v>
      </c>
      <c r="G405" s="6" t="s">
        <v>147</v>
      </c>
      <c r="H405" s="6"/>
      <c r="I405" s="6"/>
      <c r="J405" s="6" t="n">
        <v>1</v>
      </c>
      <c r="K405" s="6"/>
      <c r="L405" s="6"/>
      <c r="M405" s="6"/>
      <c r="N405" s="6" t="s">
        <v>1100</v>
      </c>
      <c r="O405" s="6" t="s">
        <v>147</v>
      </c>
    </row>
    <row r="406" customFormat="false" ht="15" hidden="false" customHeight="false" outlineLevel="0" collapsed="false">
      <c r="A406" s="6" t="n">
        <v>403</v>
      </c>
      <c r="B406" s="6" t="s">
        <v>921</v>
      </c>
      <c r="C406" s="6" t="n">
        <v>2019</v>
      </c>
      <c r="D406" s="6" t="s">
        <v>240</v>
      </c>
      <c r="E406" s="6" t="s">
        <v>239</v>
      </c>
      <c r="F406" s="6" t="s">
        <v>146</v>
      </c>
      <c r="G406" s="6" t="s">
        <v>146</v>
      </c>
      <c r="H406" s="6"/>
      <c r="I406" s="6" t="n">
        <v>1</v>
      </c>
      <c r="J406" s="6" t="n">
        <v>1</v>
      </c>
      <c r="K406" s="6" t="n">
        <v>1</v>
      </c>
      <c r="L406" s="6" t="n">
        <v>1</v>
      </c>
      <c r="M406" s="6"/>
      <c r="N406" s="6" t="s">
        <v>1100</v>
      </c>
      <c r="O406" s="6" t="s">
        <v>146</v>
      </c>
    </row>
    <row r="407" customFormat="false" ht="15" hidden="false" customHeight="false" outlineLevel="0" collapsed="false">
      <c r="A407" s="6" t="n">
        <v>404</v>
      </c>
      <c r="B407" s="6" t="s">
        <v>737</v>
      </c>
      <c r="C407" s="6" t="n">
        <v>2019</v>
      </c>
      <c r="D407" s="6" t="s">
        <v>740</v>
      </c>
      <c r="E407" s="6" t="s">
        <v>741</v>
      </c>
      <c r="F407" s="6" t="s">
        <v>146</v>
      </c>
      <c r="G407" s="6" t="s">
        <v>146</v>
      </c>
      <c r="H407" s="6"/>
      <c r="I407" s="6" t="n">
        <v>1</v>
      </c>
      <c r="J407" s="6" t="n">
        <v>1</v>
      </c>
      <c r="K407" s="6"/>
      <c r="L407" s="6" t="n">
        <v>1</v>
      </c>
      <c r="M407" s="6"/>
      <c r="N407" s="6" t="s">
        <v>1100</v>
      </c>
      <c r="O407" s="6" t="s">
        <v>146</v>
      </c>
    </row>
    <row r="408" customFormat="false" ht="15" hidden="false" customHeight="false" outlineLevel="0" collapsed="false">
      <c r="A408" s="6" t="n">
        <v>405</v>
      </c>
      <c r="B408" s="6" t="s">
        <v>531</v>
      </c>
      <c r="C408" s="6" t="n">
        <v>2019</v>
      </c>
      <c r="D408" s="6" t="s">
        <v>534</v>
      </c>
      <c r="E408" s="6" t="s">
        <v>535</v>
      </c>
      <c r="F408" s="6" t="s">
        <v>146</v>
      </c>
      <c r="G408" s="6" t="s">
        <v>146</v>
      </c>
      <c r="H408" s="6"/>
      <c r="I408" s="6" t="n">
        <v>1</v>
      </c>
      <c r="J408" s="6" t="n">
        <v>1</v>
      </c>
      <c r="K408" s="6" t="n">
        <v>1</v>
      </c>
      <c r="L408" s="6"/>
      <c r="M408" s="6"/>
      <c r="N408" s="6" t="s">
        <v>1100</v>
      </c>
      <c r="O408" s="6" t="s">
        <v>146</v>
      </c>
    </row>
    <row r="409" customFormat="false" ht="15" hidden="false" customHeight="false" outlineLevel="0" collapsed="false">
      <c r="A409" s="6" t="n">
        <v>406</v>
      </c>
      <c r="B409" s="6" t="s">
        <v>1850</v>
      </c>
      <c r="C409" s="6" t="n">
        <v>2019</v>
      </c>
      <c r="D409" s="6" t="s">
        <v>1851</v>
      </c>
      <c r="E409" s="6" t="s">
        <v>1600</v>
      </c>
      <c r="F409" s="6" t="s">
        <v>33</v>
      </c>
      <c r="G409" s="6" t="s">
        <v>147</v>
      </c>
      <c r="H409" s="6"/>
      <c r="I409" s="6"/>
      <c r="J409" s="6"/>
      <c r="K409" s="6"/>
      <c r="L409" s="6" t="n">
        <v>1</v>
      </c>
      <c r="M409" s="6"/>
      <c r="N409" s="6" t="s">
        <v>1100</v>
      </c>
      <c r="O409" s="6" t="s">
        <v>147</v>
      </c>
    </row>
    <row r="410" customFormat="false" ht="15" hidden="false" customHeight="false" outlineLevel="0" collapsed="false">
      <c r="A410" s="6" t="n">
        <v>407</v>
      </c>
      <c r="B410" s="6" t="s">
        <v>830</v>
      </c>
      <c r="C410" s="6" t="n">
        <v>2019</v>
      </c>
      <c r="D410" s="6" t="s">
        <v>833</v>
      </c>
      <c r="E410" s="6" t="s">
        <v>535</v>
      </c>
      <c r="F410" s="6" t="s">
        <v>146</v>
      </c>
      <c r="G410" s="6" t="s">
        <v>147</v>
      </c>
      <c r="H410" s="6"/>
      <c r="I410" s="6"/>
      <c r="J410" s="6"/>
      <c r="K410" s="6" t="n">
        <v>1</v>
      </c>
      <c r="L410" s="6"/>
      <c r="M410" s="6" t="n">
        <v>1</v>
      </c>
      <c r="N410" s="6" t="s">
        <v>1187</v>
      </c>
      <c r="O410" s="6" t="s">
        <v>146</v>
      </c>
    </row>
    <row r="411" customFormat="false" ht="15" hidden="false" customHeight="false" outlineLevel="0" collapsed="false">
      <c r="A411" s="6" t="n">
        <v>408</v>
      </c>
      <c r="B411" s="6" t="s">
        <v>1852</v>
      </c>
      <c r="C411" s="6" t="n">
        <v>2019</v>
      </c>
      <c r="D411" s="6" t="s">
        <v>1853</v>
      </c>
      <c r="E411" s="6" t="s">
        <v>535</v>
      </c>
      <c r="F411" s="6" t="s">
        <v>33</v>
      </c>
      <c r="G411" s="6" t="s">
        <v>147</v>
      </c>
      <c r="H411" s="6"/>
      <c r="I411" s="6"/>
      <c r="J411" s="6" t="n">
        <v>1</v>
      </c>
      <c r="K411" s="6"/>
      <c r="L411" s="6"/>
      <c r="M411" s="6"/>
      <c r="N411" s="6" t="s">
        <v>1100</v>
      </c>
      <c r="O411" s="6" t="s">
        <v>147</v>
      </c>
    </row>
    <row r="412" customFormat="false" ht="15" hidden="false" customHeight="false" outlineLevel="0" collapsed="false">
      <c r="A412" s="6" t="n">
        <v>409</v>
      </c>
      <c r="B412" s="6" t="s">
        <v>1854</v>
      </c>
      <c r="C412" s="6" t="n">
        <v>2019</v>
      </c>
      <c r="D412" s="6" t="s">
        <v>1855</v>
      </c>
      <c r="E412" s="6" t="s">
        <v>1856</v>
      </c>
      <c r="F412" s="6" t="s">
        <v>33</v>
      </c>
      <c r="G412" s="6" t="s">
        <v>146</v>
      </c>
      <c r="H412" s="6"/>
      <c r="I412" s="6" t="n">
        <v>1</v>
      </c>
      <c r="J412" s="6" t="n">
        <v>1</v>
      </c>
      <c r="K412" s="6"/>
      <c r="L412" s="6"/>
      <c r="M412" s="6" t="n">
        <v>1</v>
      </c>
      <c r="N412" s="6" t="s">
        <v>1183</v>
      </c>
      <c r="O412" s="6" t="s">
        <v>147</v>
      </c>
    </row>
    <row r="413" customFormat="false" ht="15" hidden="false" customHeight="false" outlineLevel="0" collapsed="false">
      <c r="A413" s="6" t="n">
        <v>410</v>
      </c>
      <c r="B413" s="6" t="s">
        <v>1857</v>
      </c>
      <c r="C413" s="6" t="n">
        <v>2019</v>
      </c>
      <c r="D413" s="6" t="s">
        <v>1858</v>
      </c>
      <c r="E413" s="6" t="s">
        <v>1600</v>
      </c>
      <c r="F413" s="6" t="s">
        <v>33</v>
      </c>
      <c r="G413" s="6" t="s">
        <v>147</v>
      </c>
      <c r="H413" s="6"/>
      <c r="I413" s="6"/>
      <c r="J413" s="6"/>
      <c r="K413" s="6"/>
      <c r="L413" s="6"/>
      <c r="M413" s="6"/>
      <c r="N413" s="6" t="s">
        <v>1100</v>
      </c>
      <c r="O413" s="6" t="s">
        <v>147</v>
      </c>
    </row>
    <row r="414" customFormat="false" ht="15" hidden="false" customHeight="false" outlineLevel="0" collapsed="false">
      <c r="A414" s="6" t="n">
        <v>411</v>
      </c>
      <c r="B414" s="6" t="s">
        <v>1859</v>
      </c>
      <c r="C414" s="6" t="n">
        <v>2019</v>
      </c>
      <c r="D414" s="6" t="s">
        <v>1860</v>
      </c>
      <c r="E414" s="6" t="s">
        <v>1600</v>
      </c>
      <c r="F414" s="6" t="s">
        <v>33</v>
      </c>
      <c r="G414" s="6" t="s">
        <v>147</v>
      </c>
      <c r="H414" s="6"/>
      <c r="I414" s="6"/>
      <c r="J414" s="6"/>
      <c r="K414" s="6"/>
      <c r="L414" s="6"/>
      <c r="M414" s="6"/>
      <c r="N414" s="6" t="s">
        <v>1100</v>
      </c>
      <c r="O414" s="6" t="s">
        <v>147</v>
      </c>
    </row>
    <row r="415" customFormat="false" ht="15" hidden="false" customHeight="false" outlineLevel="0" collapsed="false">
      <c r="A415" s="6" t="n">
        <v>412</v>
      </c>
      <c r="B415" s="6" t="s">
        <v>1861</v>
      </c>
      <c r="C415" s="6" t="n">
        <v>2019</v>
      </c>
      <c r="D415" s="6" t="s">
        <v>1862</v>
      </c>
      <c r="E415" s="6" t="s">
        <v>535</v>
      </c>
      <c r="F415" s="6" t="s">
        <v>33</v>
      </c>
      <c r="G415" s="6" t="s">
        <v>147</v>
      </c>
      <c r="H415" s="6"/>
      <c r="I415" s="6"/>
      <c r="J415" s="6" t="n">
        <v>1</v>
      </c>
      <c r="K415" s="6"/>
      <c r="L415" s="6"/>
      <c r="M415" s="6"/>
      <c r="N415" s="6" t="s">
        <v>1100</v>
      </c>
      <c r="O415" s="6" t="s">
        <v>147</v>
      </c>
    </row>
    <row r="416" customFormat="false" ht="15" hidden="false" customHeight="false" outlineLevel="0" collapsed="false">
      <c r="A416" s="6" t="n">
        <v>413</v>
      </c>
      <c r="B416" s="6" t="s">
        <v>1863</v>
      </c>
      <c r="C416" s="6" t="n">
        <v>2019</v>
      </c>
      <c r="D416" s="6" t="s">
        <v>1864</v>
      </c>
      <c r="E416" s="6" t="s">
        <v>1865</v>
      </c>
      <c r="F416" s="6" t="s">
        <v>33</v>
      </c>
      <c r="G416" s="6" t="s">
        <v>147</v>
      </c>
      <c r="H416" s="6"/>
      <c r="I416" s="6"/>
      <c r="J416" s="6" t="n">
        <v>1</v>
      </c>
      <c r="K416" s="6"/>
      <c r="L416" s="6"/>
      <c r="M416" s="6"/>
      <c r="N416" s="6" t="s">
        <v>1100</v>
      </c>
      <c r="O416" s="6" t="s">
        <v>147</v>
      </c>
    </row>
    <row r="417" customFormat="false" ht="15" hidden="false" customHeight="false" outlineLevel="0" collapsed="false">
      <c r="A417" s="6" t="n">
        <v>414</v>
      </c>
      <c r="B417" s="6" t="s">
        <v>823</v>
      </c>
      <c r="C417" s="6" t="n">
        <v>2019</v>
      </c>
      <c r="D417" s="6" t="s">
        <v>826</v>
      </c>
      <c r="E417" s="6" t="s">
        <v>827</v>
      </c>
      <c r="F417" s="6" t="s">
        <v>146</v>
      </c>
      <c r="G417" s="6" t="s">
        <v>146</v>
      </c>
      <c r="H417" s="6" t="n">
        <v>1</v>
      </c>
      <c r="I417" s="6" t="n">
        <v>1</v>
      </c>
      <c r="J417" s="6"/>
      <c r="K417" s="6" t="n">
        <v>1</v>
      </c>
      <c r="L417" s="6" t="n">
        <v>1</v>
      </c>
      <c r="M417" s="6"/>
      <c r="N417" s="6" t="s">
        <v>1100</v>
      </c>
      <c r="O417" s="6" t="s">
        <v>146</v>
      </c>
    </row>
    <row r="418" customFormat="false" ht="15" hidden="false" customHeight="false" outlineLevel="0" collapsed="false">
      <c r="A418" s="6" t="n">
        <v>415</v>
      </c>
      <c r="B418" s="6" t="s">
        <v>1866</v>
      </c>
      <c r="C418" s="6" t="n">
        <v>2019</v>
      </c>
      <c r="D418" s="6" t="s">
        <v>1867</v>
      </c>
      <c r="E418" s="6" t="s">
        <v>1868</v>
      </c>
      <c r="F418" s="6" t="s">
        <v>33</v>
      </c>
      <c r="G418" s="6" t="s">
        <v>147</v>
      </c>
      <c r="H418" s="6"/>
      <c r="I418" s="6"/>
      <c r="J418" s="6" t="n">
        <v>1</v>
      </c>
      <c r="K418" s="6"/>
      <c r="L418" s="6"/>
      <c r="M418" s="6"/>
      <c r="N418" s="6" t="s">
        <v>1100</v>
      </c>
      <c r="O418" s="6" t="s">
        <v>147</v>
      </c>
    </row>
    <row r="419" customFormat="false" ht="15" hidden="false" customHeight="false" outlineLevel="0" collapsed="false">
      <c r="A419" s="6" t="n">
        <v>416</v>
      </c>
      <c r="B419" s="6" t="s">
        <v>1869</v>
      </c>
      <c r="C419" s="6" t="n">
        <v>2019</v>
      </c>
      <c r="D419" s="6" t="s">
        <v>1870</v>
      </c>
      <c r="E419" s="6" t="s">
        <v>1871</v>
      </c>
      <c r="F419" s="6" t="s">
        <v>33</v>
      </c>
      <c r="G419" s="6" t="s">
        <v>147</v>
      </c>
      <c r="H419" s="6"/>
      <c r="I419" s="6"/>
      <c r="J419" s="6" t="n">
        <v>1</v>
      </c>
      <c r="K419" s="6"/>
      <c r="L419" s="6"/>
      <c r="M419" s="6"/>
      <c r="N419" s="6" t="s">
        <v>1100</v>
      </c>
      <c r="O419" s="6" t="s">
        <v>147</v>
      </c>
    </row>
    <row r="420" customFormat="false" ht="15" hidden="false" customHeight="false" outlineLevel="0" collapsed="false">
      <c r="A420" s="6" t="n">
        <v>417</v>
      </c>
      <c r="B420" s="6" t="s">
        <v>1053</v>
      </c>
      <c r="C420" s="6" t="n">
        <v>2019</v>
      </c>
      <c r="D420" s="6" t="s">
        <v>1056</v>
      </c>
      <c r="E420" s="6" t="s">
        <v>1057</v>
      </c>
      <c r="F420" s="6" t="s">
        <v>146</v>
      </c>
      <c r="G420" s="6" t="s">
        <v>146</v>
      </c>
      <c r="H420" s="6" t="n">
        <v>1</v>
      </c>
      <c r="I420" s="6" t="n">
        <v>1</v>
      </c>
      <c r="J420" s="6"/>
      <c r="K420" s="6" t="n">
        <v>1</v>
      </c>
      <c r="L420" s="6" t="n">
        <v>1</v>
      </c>
      <c r="M420" s="6"/>
      <c r="N420" s="6" t="s">
        <v>1100</v>
      </c>
      <c r="O420" s="6" t="s">
        <v>146</v>
      </c>
    </row>
    <row r="421" customFormat="false" ht="15" hidden="false" customHeight="false" outlineLevel="0" collapsed="false">
      <c r="A421" s="6" t="n">
        <v>418</v>
      </c>
      <c r="B421" s="6" t="s">
        <v>1872</v>
      </c>
      <c r="C421" s="6" t="n">
        <v>2019</v>
      </c>
      <c r="D421" s="6" t="s">
        <v>1873</v>
      </c>
      <c r="E421" s="6" t="s">
        <v>1788</v>
      </c>
      <c r="F421" s="6" t="s">
        <v>146</v>
      </c>
      <c r="G421" s="6" t="s">
        <v>147</v>
      </c>
      <c r="H421" s="6"/>
      <c r="I421" s="6"/>
      <c r="J421" s="6"/>
      <c r="K421" s="6"/>
      <c r="L421" s="6" t="n">
        <v>1</v>
      </c>
      <c r="M421" s="6" t="n">
        <v>1</v>
      </c>
      <c r="N421" s="6" t="s">
        <v>1183</v>
      </c>
      <c r="O421" s="6" t="s">
        <v>147</v>
      </c>
    </row>
    <row r="422" customFormat="false" ht="15" hidden="false" customHeight="false" outlineLevel="0" collapsed="false">
      <c r="A422" s="6" t="n">
        <v>419</v>
      </c>
      <c r="B422" s="6" t="s">
        <v>1874</v>
      </c>
      <c r="C422" s="6" t="n">
        <v>2019</v>
      </c>
      <c r="D422" s="6" t="s">
        <v>1875</v>
      </c>
      <c r="E422" s="6" t="s">
        <v>535</v>
      </c>
      <c r="F422" s="6" t="s">
        <v>33</v>
      </c>
      <c r="G422" s="6" t="s">
        <v>147</v>
      </c>
      <c r="H422" s="6"/>
      <c r="I422" s="6"/>
      <c r="J422" s="6" t="n">
        <v>1</v>
      </c>
      <c r="K422" s="6"/>
      <c r="L422" s="6"/>
      <c r="M422" s="6"/>
      <c r="N422" s="6" t="s">
        <v>1100</v>
      </c>
      <c r="O422" s="6" t="s">
        <v>147</v>
      </c>
    </row>
    <row r="423" customFormat="false" ht="15" hidden="false" customHeight="false" outlineLevel="0" collapsed="false">
      <c r="A423" s="6" t="n">
        <v>420</v>
      </c>
      <c r="B423" s="6" t="s">
        <v>662</v>
      </c>
      <c r="C423" s="6" t="n">
        <v>2018</v>
      </c>
      <c r="D423" s="6" t="s">
        <v>665</v>
      </c>
      <c r="E423" s="6" t="s">
        <v>387</v>
      </c>
      <c r="F423" s="6" t="s">
        <v>146</v>
      </c>
      <c r="G423" s="6" t="s">
        <v>146</v>
      </c>
      <c r="H423" s="6" t="n">
        <v>1</v>
      </c>
      <c r="I423" s="6" t="n">
        <v>1</v>
      </c>
      <c r="J423" s="6" t="n">
        <v>1</v>
      </c>
      <c r="K423" s="6" t="n">
        <v>1</v>
      </c>
      <c r="L423" s="6" t="n">
        <v>1</v>
      </c>
      <c r="M423" s="6"/>
      <c r="N423" s="6" t="s">
        <v>1100</v>
      </c>
      <c r="O423" s="6" t="s">
        <v>146</v>
      </c>
    </row>
    <row r="424" customFormat="false" ht="15" hidden="false" customHeight="false" outlineLevel="0" collapsed="false">
      <c r="A424" s="6" t="n">
        <v>421</v>
      </c>
      <c r="B424" s="6" t="s">
        <v>1876</v>
      </c>
      <c r="C424" s="6" t="n">
        <v>2018</v>
      </c>
      <c r="D424" s="6" t="s">
        <v>1877</v>
      </c>
      <c r="E424" s="6" t="s">
        <v>1878</v>
      </c>
      <c r="F424" s="6" t="s">
        <v>33</v>
      </c>
      <c r="G424" s="6" t="s">
        <v>146</v>
      </c>
      <c r="H424" s="6"/>
      <c r="I424" s="6" t="n">
        <v>1</v>
      </c>
      <c r="J424" s="6" t="n">
        <v>1</v>
      </c>
      <c r="K424" s="6"/>
      <c r="L424" s="6"/>
      <c r="M424" s="6" t="n">
        <v>1</v>
      </c>
      <c r="N424" s="6" t="s">
        <v>1183</v>
      </c>
      <c r="O424" s="6" t="s">
        <v>147</v>
      </c>
    </row>
    <row r="425" customFormat="false" ht="15" hidden="false" customHeight="false" outlineLevel="0" collapsed="false">
      <c r="A425" s="6" t="n">
        <v>422</v>
      </c>
      <c r="B425" s="6" t="s">
        <v>1879</v>
      </c>
      <c r="C425" s="6" t="n">
        <v>2018</v>
      </c>
      <c r="D425" s="6" t="s">
        <v>1880</v>
      </c>
      <c r="E425" s="6" t="s">
        <v>1881</v>
      </c>
      <c r="F425" s="6" t="s">
        <v>146</v>
      </c>
      <c r="G425" s="6" t="s">
        <v>147</v>
      </c>
      <c r="H425" s="6"/>
      <c r="I425" s="6"/>
      <c r="J425" s="6" t="n">
        <v>1</v>
      </c>
      <c r="K425" s="6"/>
      <c r="L425" s="6" t="n">
        <v>1</v>
      </c>
      <c r="M425" s="6" t="n">
        <v>1</v>
      </c>
      <c r="N425" s="6" t="s">
        <v>1183</v>
      </c>
      <c r="O425" s="6" t="s">
        <v>147</v>
      </c>
    </row>
    <row r="426" customFormat="false" ht="15" hidden="false" customHeight="false" outlineLevel="0" collapsed="false">
      <c r="A426" s="6" t="n">
        <v>423</v>
      </c>
      <c r="B426" s="6" t="s">
        <v>1882</v>
      </c>
      <c r="C426" s="6" t="n">
        <v>2018</v>
      </c>
      <c r="D426" s="6" t="s">
        <v>1883</v>
      </c>
      <c r="E426" s="6" t="s">
        <v>535</v>
      </c>
      <c r="F426" s="6" t="s">
        <v>146</v>
      </c>
      <c r="G426" s="6" t="s">
        <v>147</v>
      </c>
      <c r="H426" s="6"/>
      <c r="I426" s="6"/>
      <c r="J426" s="6"/>
      <c r="K426" s="6"/>
      <c r="L426" s="6"/>
      <c r="M426" s="6" t="n">
        <v>1</v>
      </c>
      <c r="N426" s="6" t="s">
        <v>1183</v>
      </c>
      <c r="O426" s="6" t="s">
        <v>147</v>
      </c>
    </row>
    <row r="427" customFormat="false" ht="15" hidden="false" customHeight="false" outlineLevel="0" collapsed="false">
      <c r="A427" s="6" t="n">
        <v>424</v>
      </c>
      <c r="B427" s="6" t="s">
        <v>1884</v>
      </c>
      <c r="C427" s="6" t="n">
        <v>2018</v>
      </c>
      <c r="D427" s="6" t="s">
        <v>1885</v>
      </c>
      <c r="E427" s="6" t="s">
        <v>535</v>
      </c>
      <c r="F427" s="6" t="s">
        <v>33</v>
      </c>
      <c r="G427" s="6" t="s">
        <v>147</v>
      </c>
      <c r="H427" s="6"/>
      <c r="I427" s="6"/>
      <c r="J427" s="6" t="n">
        <v>1</v>
      </c>
      <c r="K427" s="6"/>
      <c r="L427" s="6"/>
      <c r="M427" s="6"/>
      <c r="N427" s="6" t="s">
        <v>1100</v>
      </c>
      <c r="O427" s="6" t="s">
        <v>147</v>
      </c>
    </row>
    <row r="428" customFormat="false" ht="15" hidden="false" customHeight="false" outlineLevel="0" collapsed="false">
      <c r="A428" s="6" t="n">
        <v>425</v>
      </c>
      <c r="B428" s="6" t="s">
        <v>503</v>
      </c>
      <c r="C428" s="6" t="n">
        <v>2018</v>
      </c>
      <c r="D428" s="6" t="s">
        <v>506</v>
      </c>
      <c r="E428" s="6" t="s">
        <v>507</v>
      </c>
      <c r="F428" s="6" t="s">
        <v>146</v>
      </c>
      <c r="G428" s="6" t="s">
        <v>146</v>
      </c>
      <c r="H428" s="6" t="n">
        <v>1</v>
      </c>
      <c r="I428" s="6" t="n">
        <v>1</v>
      </c>
      <c r="J428" s="6" t="n">
        <v>1</v>
      </c>
      <c r="K428" s="6"/>
      <c r="L428" s="6"/>
      <c r="M428" s="6"/>
      <c r="N428" s="6" t="s">
        <v>1100</v>
      </c>
      <c r="O428" s="6" t="s">
        <v>146</v>
      </c>
    </row>
    <row r="429" customFormat="false" ht="15" hidden="false" customHeight="false" outlineLevel="0" collapsed="false">
      <c r="A429" s="6" t="n">
        <v>426</v>
      </c>
      <c r="B429" s="6" t="s">
        <v>1886</v>
      </c>
      <c r="C429" s="6" t="n">
        <v>2018</v>
      </c>
      <c r="D429" s="6" t="s">
        <v>1887</v>
      </c>
      <c r="E429" s="6" t="s">
        <v>507</v>
      </c>
      <c r="F429" s="6" t="s">
        <v>146</v>
      </c>
      <c r="G429" s="6" t="s">
        <v>147</v>
      </c>
      <c r="H429" s="6"/>
      <c r="I429" s="6"/>
      <c r="J429" s="6" t="n">
        <v>1</v>
      </c>
      <c r="K429" s="6"/>
      <c r="L429" s="6" t="n">
        <v>1</v>
      </c>
      <c r="M429" s="6" t="n">
        <v>1</v>
      </c>
      <c r="N429" s="6" t="s">
        <v>1183</v>
      </c>
      <c r="O429" s="6" t="s">
        <v>147</v>
      </c>
    </row>
    <row r="430" customFormat="false" ht="15" hidden="false" customHeight="false" outlineLevel="0" collapsed="false">
      <c r="A430" s="6" t="n">
        <v>427</v>
      </c>
      <c r="B430" s="6" t="s">
        <v>1888</v>
      </c>
      <c r="C430" s="6" t="n">
        <v>2018</v>
      </c>
      <c r="D430" s="6" t="s">
        <v>1889</v>
      </c>
      <c r="E430" s="6" t="s">
        <v>535</v>
      </c>
      <c r="F430" s="6" t="s">
        <v>33</v>
      </c>
      <c r="G430" s="6" t="s">
        <v>147</v>
      </c>
      <c r="H430" s="6"/>
      <c r="I430" s="6"/>
      <c r="J430" s="6" t="n">
        <v>1</v>
      </c>
      <c r="K430" s="6"/>
      <c r="L430" s="6"/>
      <c r="M430" s="6"/>
      <c r="N430" s="6" t="s">
        <v>1100</v>
      </c>
      <c r="O430" s="6" t="s">
        <v>147</v>
      </c>
    </row>
    <row r="431" customFormat="false" ht="15" hidden="false" customHeight="false" outlineLevel="0" collapsed="false">
      <c r="A431" s="6" t="n">
        <v>428</v>
      </c>
      <c r="B431" s="6" t="s">
        <v>1890</v>
      </c>
      <c r="C431" s="6" t="n">
        <v>2018</v>
      </c>
      <c r="D431" s="6" t="s">
        <v>1891</v>
      </c>
      <c r="E431" s="6" t="s">
        <v>535</v>
      </c>
      <c r="F431" s="6" t="s">
        <v>146</v>
      </c>
      <c r="G431" s="6" t="s">
        <v>147</v>
      </c>
      <c r="H431" s="6"/>
      <c r="I431" s="6"/>
      <c r="J431" s="6" t="n">
        <v>1</v>
      </c>
      <c r="K431" s="6"/>
      <c r="L431" s="6"/>
      <c r="M431" s="6" t="n">
        <v>1</v>
      </c>
      <c r="N431" s="6" t="s">
        <v>1183</v>
      </c>
      <c r="O431" s="6" t="s">
        <v>147</v>
      </c>
    </row>
    <row r="432" customFormat="false" ht="15" hidden="false" customHeight="false" outlineLevel="0" collapsed="false">
      <c r="A432" s="6" t="n">
        <v>429</v>
      </c>
      <c r="B432" s="6" t="s">
        <v>1892</v>
      </c>
      <c r="C432" s="6" t="n">
        <v>2018</v>
      </c>
      <c r="D432" s="6" t="s">
        <v>1893</v>
      </c>
      <c r="E432" s="6" t="s">
        <v>535</v>
      </c>
      <c r="F432" s="6" t="s">
        <v>33</v>
      </c>
      <c r="G432" s="6" t="s">
        <v>147</v>
      </c>
      <c r="H432" s="6"/>
      <c r="I432" s="6"/>
      <c r="J432" s="6"/>
      <c r="K432" s="6"/>
      <c r="L432" s="6"/>
      <c r="M432" s="6"/>
      <c r="N432" s="6" t="s">
        <v>1100</v>
      </c>
      <c r="O432" s="6" t="s">
        <v>147</v>
      </c>
    </row>
    <row r="433" customFormat="false" ht="15" hidden="false" customHeight="false" outlineLevel="0" collapsed="false">
      <c r="A433" s="6" t="n">
        <v>430</v>
      </c>
      <c r="B433" s="6" t="s">
        <v>1894</v>
      </c>
      <c r="C433" s="6" t="n">
        <v>2018</v>
      </c>
      <c r="D433" s="6" t="s">
        <v>1895</v>
      </c>
      <c r="E433" s="6" t="s">
        <v>535</v>
      </c>
      <c r="F433" s="6" t="s">
        <v>33</v>
      </c>
      <c r="G433" s="6" t="s">
        <v>147</v>
      </c>
      <c r="H433" s="6"/>
      <c r="I433" s="6"/>
      <c r="J433" s="6" t="n">
        <v>1</v>
      </c>
      <c r="K433" s="6"/>
      <c r="L433" s="6"/>
      <c r="M433" s="6"/>
      <c r="N433" s="6" t="s">
        <v>1100</v>
      </c>
      <c r="O433" s="6" t="s">
        <v>147</v>
      </c>
    </row>
    <row r="434" customFormat="false" ht="15" hidden="false" customHeight="false" outlineLevel="0" collapsed="false">
      <c r="A434" s="6" t="n">
        <v>431</v>
      </c>
      <c r="B434" s="6" t="s">
        <v>1896</v>
      </c>
      <c r="C434" s="6" t="n">
        <v>2018</v>
      </c>
      <c r="D434" s="6" t="s">
        <v>1897</v>
      </c>
      <c r="E434" s="6" t="s">
        <v>1600</v>
      </c>
      <c r="F434" s="6" t="s">
        <v>33</v>
      </c>
      <c r="G434" s="6" t="s">
        <v>147</v>
      </c>
      <c r="H434" s="6"/>
      <c r="I434" s="6" t="n">
        <v>1</v>
      </c>
      <c r="J434" s="6"/>
      <c r="K434" s="6"/>
      <c r="L434" s="6"/>
      <c r="M434" s="6"/>
      <c r="N434" s="6" t="s">
        <v>1100</v>
      </c>
      <c r="O434" s="6" t="s">
        <v>147</v>
      </c>
    </row>
    <row r="435" customFormat="false" ht="15" hidden="false" customHeight="false" outlineLevel="0" collapsed="false">
      <c r="A435" s="6" t="n">
        <v>432</v>
      </c>
      <c r="B435" s="6" t="s">
        <v>991</v>
      </c>
      <c r="C435" s="6" t="n">
        <v>2018</v>
      </c>
      <c r="D435" s="6" t="s">
        <v>994</v>
      </c>
      <c r="E435" s="6" t="s">
        <v>660</v>
      </c>
      <c r="F435" s="6" t="s">
        <v>146</v>
      </c>
      <c r="G435" s="6" t="s">
        <v>146</v>
      </c>
      <c r="H435" s="6" t="n">
        <v>1</v>
      </c>
      <c r="I435" s="6"/>
      <c r="J435" s="6" t="n">
        <v>1</v>
      </c>
      <c r="K435" s="6"/>
      <c r="L435" s="6" t="n">
        <v>1</v>
      </c>
      <c r="M435" s="6"/>
      <c r="N435" s="6" t="s">
        <v>1100</v>
      </c>
      <c r="O435" s="6" t="s">
        <v>146</v>
      </c>
    </row>
    <row r="436" customFormat="false" ht="15" hidden="false" customHeight="false" outlineLevel="0" collapsed="false">
      <c r="A436" s="6" t="n">
        <v>433</v>
      </c>
      <c r="B436" s="6" t="s">
        <v>1898</v>
      </c>
      <c r="C436" s="6" t="n">
        <v>2018</v>
      </c>
      <c r="D436" s="6" t="s">
        <v>1899</v>
      </c>
      <c r="E436" s="6" t="s">
        <v>1900</v>
      </c>
      <c r="F436" s="6" t="s">
        <v>33</v>
      </c>
      <c r="G436" s="6" t="s">
        <v>147</v>
      </c>
      <c r="H436" s="6"/>
      <c r="I436" s="6"/>
      <c r="J436" s="6"/>
      <c r="K436" s="6"/>
      <c r="L436" s="6" t="n">
        <v>1</v>
      </c>
      <c r="M436" s="6"/>
      <c r="N436" s="6" t="s">
        <v>1100</v>
      </c>
      <c r="O436" s="6" t="s">
        <v>147</v>
      </c>
    </row>
    <row r="437" customFormat="false" ht="15" hidden="false" customHeight="false" outlineLevel="0" collapsed="false">
      <c r="A437" s="6" t="n">
        <v>434</v>
      </c>
      <c r="B437" s="6" t="s">
        <v>1901</v>
      </c>
      <c r="C437" s="6" t="n">
        <v>2018</v>
      </c>
      <c r="D437" s="6" t="s">
        <v>1902</v>
      </c>
      <c r="E437" s="6" t="s">
        <v>535</v>
      </c>
      <c r="F437" s="6" t="s">
        <v>33</v>
      </c>
      <c r="G437" s="6" t="s">
        <v>147</v>
      </c>
      <c r="H437" s="6"/>
      <c r="I437" s="6"/>
      <c r="J437" s="6" t="n">
        <v>1</v>
      </c>
      <c r="K437" s="6"/>
      <c r="L437" s="6"/>
      <c r="M437" s="6"/>
      <c r="N437" s="6" t="s">
        <v>1100</v>
      </c>
      <c r="O437" s="6" t="s">
        <v>147</v>
      </c>
    </row>
    <row r="438" customFormat="false" ht="15" hidden="false" customHeight="false" outlineLevel="0" collapsed="false">
      <c r="A438" s="6" t="n">
        <v>435</v>
      </c>
      <c r="B438" s="6" t="s">
        <v>1903</v>
      </c>
      <c r="C438" s="6" t="n">
        <v>2018</v>
      </c>
      <c r="D438" s="6" t="s">
        <v>1904</v>
      </c>
      <c r="E438" s="6" t="s">
        <v>535</v>
      </c>
      <c r="F438" s="6" t="s">
        <v>33</v>
      </c>
      <c r="G438" s="6" t="s">
        <v>147</v>
      </c>
      <c r="H438" s="6"/>
      <c r="I438" s="6"/>
      <c r="J438" s="6" t="n">
        <v>1</v>
      </c>
      <c r="K438" s="6"/>
      <c r="L438" s="6"/>
      <c r="M438" s="6"/>
      <c r="N438" s="6" t="s">
        <v>1100</v>
      </c>
      <c r="O438" s="6" t="s">
        <v>147</v>
      </c>
    </row>
    <row r="439" customFormat="false" ht="15" hidden="false" customHeight="false" outlineLevel="0" collapsed="false">
      <c r="A439" s="6" t="n">
        <v>436</v>
      </c>
      <c r="B439" s="6" t="s">
        <v>1905</v>
      </c>
      <c r="C439" s="6" t="n">
        <v>2018</v>
      </c>
      <c r="D439" s="6" t="s">
        <v>1906</v>
      </c>
      <c r="E439" s="6" t="s">
        <v>1600</v>
      </c>
      <c r="F439" s="6" t="s">
        <v>33</v>
      </c>
      <c r="G439" s="6" t="s">
        <v>147</v>
      </c>
      <c r="H439" s="6"/>
      <c r="I439" s="6"/>
      <c r="J439" s="6"/>
      <c r="K439" s="6"/>
      <c r="L439" s="6" t="n">
        <v>1</v>
      </c>
      <c r="M439" s="6"/>
      <c r="N439" s="6" t="s">
        <v>1100</v>
      </c>
      <c r="O439" s="6" t="s">
        <v>147</v>
      </c>
    </row>
    <row r="440" customFormat="false" ht="15" hidden="false" customHeight="false" outlineLevel="0" collapsed="false">
      <c r="A440" s="6" t="n">
        <v>437</v>
      </c>
      <c r="B440" s="6" t="s">
        <v>1005</v>
      </c>
      <c r="C440" s="6" t="n">
        <v>2018</v>
      </c>
      <c r="D440" s="6" t="s">
        <v>256</v>
      </c>
      <c r="E440" s="6" t="s">
        <v>255</v>
      </c>
      <c r="F440" s="6" t="s">
        <v>146</v>
      </c>
      <c r="G440" s="6" t="s">
        <v>146</v>
      </c>
      <c r="H440" s="6"/>
      <c r="I440" s="6" t="n">
        <v>1</v>
      </c>
      <c r="J440" s="6" t="n">
        <v>1</v>
      </c>
      <c r="K440" s="6" t="n">
        <v>1</v>
      </c>
      <c r="L440" s="6" t="n">
        <v>1</v>
      </c>
      <c r="M440" s="6"/>
      <c r="N440" s="6" t="s">
        <v>1100</v>
      </c>
      <c r="O440" s="6" t="s">
        <v>146</v>
      </c>
    </row>
    <row r="441" customFormat="false" ht="15" hidden="false" customHeight="false" outlineLevel="0" collapsed="false">
      <c r="A441" s="6" t="n">
        <v>438</v>
      </c>
      <c r="B441" s="6" t="s">
        <v>1907</v>
      </c>
      <c r="C441" s="6" t="n">
        <v>2018</v>
      </c>
      <c r="D441" s="6" t="s">
        <v>1908</v>
      </c>
      <c r="E441" s="6" t="s">
        <v>535</v>
      </c>
      <c r="F441" s="6" t="s">
        <v>33</v>
      </c>
      <c r="G441" s="6" t="s">
        <v>147</v>
      </c>
      <c r="H441" s="6"/>
      <c r="I441" s="6"/>
      <c r="J441" s="6"/>
      <c r="K441" s="6"/>
      <c r="L441" s="6"/>
      <c r="M441" s="6"/>
      <c r="N441" s="6" t="s">
        <v>1100</v>
      </c>
      <c r="O441" s="6" t="s">
        <v>147</v>
      </c>
    </row>
    <row r="442" customFormat="false" ht="15" hidden="false" customHeight="false" outlineLevel="0" collapsed="false">
      <c r="A442" s="6" t="n">
        <v>439</v>
      </c>
      <c r="B442" s="6" t="s">
        <v>641</v>
      </c>
      <c r="C442" s="6" t="n">
        <v>2018</v>
      </c>
      <c r="D442" s="6" t="s">
        <v>644</v>
      </c>
      <c r="E442" s="6" t="s">
        <v>535</v>
      </c>
      <c r="F442" s="6" t="s">
        <v>146</v>
      </c>
      <c r="G442" s="6" t="s">
        <v>147</v>
      </c>
      <c r="H442" s="6"/>
      <c r="I442" s="6"/>
      <c r="J442" s="6"/>
      <c r="K442" s="6" t="n">
        <v>1</v>
      </c>
      <c r="L442" s="6"/>
      <c r="M442" s="6" t="n">
        <v>1</v>
      </c>
      <c r="N442" s="6" t="s">
        <v>1187</v>
      </c>
      <c r="O442" s="6" t="s">
        <v>146</v>
      </c>
    </row>
    <row r="443" customFormat="false" ht="15" hidden="false" customHeight="false" outlineLevel="0" collapsed="false">
      <c r="A443" s="6" t="n">
        <v>440</v>
      </c>
      <c r="B443" s="6" t="s">
        <v>1909</v>
      </c>
      <c r="C443" s="6" t="n">
        <v>2018</v>
      </c>
      <c r="D443" s="6" t="s">
        <v>1910</v>
      </c>
      <c r="E443" s="6" t="s">
        <v>1600</v>
      </c>
      <c r="F443" s="6" t="s">
        <v>33</v>
      </c>
      <c r="G443" s="6" t="s">
        <v>147</v>
      </c>
      <c r="H443" s="6"/>
      <c r="I443" s="6"/>
      <c r="J443" s="6"/>
      <c r="K443" s="6"/>
      <c r="L443" s="6"/>
      <c r="M443" s="6"/>
      <c r="N443" s="6" t="s">
        <v>1100</v>
      </c>
      <c r="O443" s="6" t="s">
        <v>147</v>
      </c>
    </row>
    <row r="444" customFormat="false" ht="15" hidden="false" customHeight="false" outlineLevel="0" collapsed="false">
      <c r="A444" s="6" t="n">
        <v>441</v>
      </c>
      <c r="B444" s="6" t="s">
        <v>1911</v>
      </c>
      <c r="C444" s="6" t="n">
        <v>2018</v>
      </c>
      <c r="D444" s="6" t="s">
        <v>1912</v>
      </c>
      <c r="E444" s="6" t="s">
        <v>535</v>
      </c>
      <c r="F444" s="6" t="s">
        <v>33</v>
      </c>
      <c r="G444" s="6" t="s">
        <v>147</v>
      </c>
      <c r="H444" s="6"/>
      <c r="I444" s="6"/>
      <c r="J444" s="6" t="n">
        <v>1</v>
      </c>
      <c r="K444" s="6"/>
      <c r="L444" s="6"/>
      <c r="M444" s="6"/>
      <c r="N444" s="6" t="s">
        <v>1100</v>
      </c>
      <c r="O444" s="6" t="s">
        <v>147</v>
      </c>
    </row>
    <row r="445" customFormat="false" ht="15" hidden="false" customHeight="false" outlineLevel="0" collapsed="false">
      <c r="A445" s="6" t="n">
        <v>442</v>
      </c>
      <c r="B445" s="6" t="s">
        <v>1913</v>
      </c>
      <c r="C445" s="6" t="n">
        <v>2018</v>
      </c>
      <c r="D445" s="6" t="s">
        <v>1914</v>
      </c>
      <c r="E445" s="6" t="s">
        <v>1915</v>
      </c>
      <c r="F445" s="6" t="s">
        <v>33</v>
      </c>
      <c r="G445" s="6" t="s">
        <v>147</v>
      </c>
      <c r="H445" s="6"/>
      <c r="I445" s="6"/>
      <c r="J445" s="6"/>
      <c r="K445" s="6"/>
      <c r="L445" s="6"/>
      <c r="M445" s="6"/>
      <c r="N445" s="6" t="s">
        <v>1100</v>
      </c>
      <c r="O445" s="6" t="s">
        <v>147</v>
      </c>
    </row>
    <row r="446" customFormat="false" ht="15" hidden="false" customHeight="false" outlineLevel="0" collapsed="false">
      <c r="A446" s="6" t="n">
        <v>443</v>
      </c>
      <c r="B446" s="6" t="s">
        <v>621</v>
      </c>
      <c r="C446" s="6" t="n">
        <v>2018</v>
      </c>
      <c r="D446" s="6" t="s">
        <v>624</v>
      </c>
      <c r="E446" s="6" t="s">
        <v>535</v>
      </c>
      <c r="F446" s="6" t="s">
        <v>146</v>
      </c>
      <c r="G446" s="6" t="s">
        <v>147</v>
      </c>
      <c r="H446" s="6"/>
      <c r="I446" s="6"/>
      <c r="J446" s="6" t="n">
        <v>1</v>
      </c>
      <c r="K446" s="6" t="n">
        <v>1</v>
      </c>
      <c r="L446" s="6" t="n">
        <v>1</v>
      </c>
      <c r="M446" s="6" t="n">
        <v>1</v>
      </c>
      <c r="N446" s="6" t="s">
        <v>1187</v>
      </c>
      <c r="O446" s="6" t="s">
        <v>146</v>
      </c>
    </row>
    <row r="447" customFormat="false" ht="15" hidden="false" customHeight="false" outlineLevel="0" collapsed="false">
      <c r="A447" s="6" t="n">
        <v>444</v>
      </c>
      <c r="B447" s="6" t="s">
        <v>1025</v>
      </c>
      <c r="C447" s="6" t="n">
        <v>2018</v>
      </c>
      <c r="D447" s="6" t="s">
        <v>1028</v>
      </c>
      <c r="E447" s="6" t="s">
        <v>535</v>
      </c>
      <c r="F447" s="6" t="s">
        <v>146</v>
      </c>
      <c r="G447" s="6" t="s">
        <v>146</v>
      </c>
      <c r="H447" s="6"/>
      <c r="I447" s="6" t="n">
        <v>1</v>
      </c>
      <c r="J447" s="6" t="n">
        <v>1</v>
      </c>
      <c r="K447" s="6" t="n">
        <v>1</v>
      </c>
      <c r="L447" s="6" t="n">
        <v>1</v>
      </c>
      <c r="M447" s="6"/>
      <c r="N447" s="6" t="s">
        <v>1100</v>
      </c>
      <c r="O447" s="6" t="s">
        <v>146</v>
      </c>
    </row>
    <row r="448" customFormat="false" ht="15" hidden="false" customHeight="false" outlineLevel="0" collapsed="false">
      <c r="A448" s="6" t="n">
        <v>445</v>
      </c>
      <c r="B448" s="6" t="s">
        <v>1916</v>
      </c>
      <c r="C448" s="6" t="n">
        <v>2018</v>
      </c>
      <c r="D448" s="6" t="s">
        <v>1917</v>
      </c>
      <c r="E448" s="6" t="s">
        <v>1600</v>
      </c>
      <c r="F448" s="6" t="s">
        <v>34</v>
      </c>
      <c r="G448" s="6" t="s">
        <v>147</v>
      </c>
      <c r="H448" s="6"/>
      <c r="I448" s="6"/>
      <c r="J448" s="6" t="n">
        <v>1</v>
      </c>
      <c r="K448" s="6"/>
      <c r="L448" s="6"/>
      <c r="M448" s="6"/>
      <c r="N448" s="6" t="s">
        <v>1165</v>
      </c>
      <c r="O448" s="6" t="s">
        <v>147</v>
      </c>
    </row>
    <row r="449" customFormat="false" ht="15" hidden="false" customHeight="false" outlineLevel="0" collapsed="false">
      <c r="A449" s="6" t="n">
        <v>446</v>
      </c>
      <c r="B449" s="6" t="s">
        <v>1918</v>
      </c>
      <c r="C449" s="6" t="n">
        <v>2018</v>
      </c>
      <c r="D449" s="6" t="s">
        <v>1919</v>
      </c>
      <c r="E449" s="6" t="s">
        <v>1920</v>
      </c>
      <c r="F449" s="6" t="s">
        <v>33</v>
      </c>
      <c r="G449" s="6" t="s">
        <v>147</v>
      </c>
      <c r="H449" s="6"/>
      <c r="I449" s="6"/>
      <c r="J449" s="6" t="n">
        <v>1</v>
      </c>
      <c r="K449" s="6"/>
      <c r="L449" s="6"/>
      <c r="M449" s="6"/>
      <c r="N449" s="6" t="s">
        <v>1100</v>
      </c>
      <c r="O449" s="6" t="s">
        <v>147</v>
      </c>
    </row>
    <row r="450" customFormat="false" ht="15" hidden="false" customHeight="false" outlineLevel="0" collapsed="false">
      <c r="A450" s="6" t="n">
        <v>447</v>
      </c>
      <c r="B450" s="6" t="s">
        <v>1921</v>
      </c>
      <c r="C450" s="6" t="n">
        <v>2017</v>
      </c>
      <c r="D450" s="6" t="s">
        <v>1922</v>
      </c>
      <c r="E450" s="6" t="s">
        <v>1387</v>
      </c>
      <c r="F450" s="6" t="s">
        <v>33</v>
      </c>
      <c r="G450" s="6" t="s">
        <v>147</v>
      </c>
      <c r="H450" s="6"/>
      <c r="I450" s="6"/>
      <c r="J450" s="6"/>
      <c r="K450" s="6"/>
      <c r="L450" s="6" t="n">
        <v>1</v>
      </c>
      <c r="M450" s="6"/>
      <c r="N450" s="6" t="s">
        <v>1100</v>
      </c>
      <c r="O450" s="6" t="s">
        <v>147</v>
      </c>
    </row>
    <row r="451" customFormat="false" ht="15" hidden="false" customHeight="false" outlineLevel="0" collapsed="false">
      <c r="A451" s="6" t="n">
        <v>448</v>
      </c>
      <c r="B451" s="6" t="s">
        <v>1923</v>
      </c>
      <c r="C451" s="6" t="n">
        <v>2017</v>
      </c>
      <c r="D451" s="6" t="s">
        <v>1924</v>
      </c>
      <c r="E451" s="6" t="s">
        <v>535</v>
      </c>
      <c r="F451" s="6" t="s">
        <v>146</v>
      </c>
      <c r="G451" s="6" t="s">
        <v>147</v>
      </c>
      <c r="H451" s="6"/>
      <c r="I451" s="6"/>
      <c r="J451" s="6" t="n">
        <v>1</v>
      </c>
      <c r="K451" s="6"/>
      <c r="L451" s="6" t="n">
        <v>1</v>
      </c>
      <c r="M451" s="6" t="n">
        <v>1</v>
      </c>
      <c r="N451" s="6" t="s">
        <v>1183</v>
      </c>
      <c r="O451" s="6" t="s">
        <v>147</v>
      </c>
    </row>
    <row r="452" customFormat="false" ht="15" hidden="false" customHeight="false" outlineLevel="0" collapsed="false">
      <c r="A452" s="6" t="n">
        <v>449</v>
      </c>
      <c r="B452" s="6" t="s">
        <v>1925</v>
      </c>
      <c r="C452" s="6" t="n">
        <v>2017</v>
      </c>
      <c r="D452" s="6" t="s">
        <v>1926</v>
      </c>
      <c r="E452" s="6" t="s">
        <v>535</v>
      </c>
      <c r="F452" s="6" t="s">
        <v>33</v>
      </c>
      <c r="G452" s="6" t="s">
        <v>147</v>
      </c>
      <c r="H452" s="6"/>
      <c r="I452" s="6"/>
      <c r="J452" s="6"/>
      <c r="K452" s="6"/>
      <c r="L452" s="6" t="n">
        <v>1</v>
      </c>
      <c r="M452" s="6"/>
      <c r="N452" s="6" t="s">
        <v>1100</v>
      </c>
      <c r="O452" s="6" t="s">
        <v>147</v>
      </c>
    </row>
    <row r="453" customFormat="false" ht="15" hidden="false" customHeight="false" outlineLevel="0" collapsed="false">
      <c r="A453" s="6" t="n">
        <v>450</v>
      </c>
      <c r="B453" s="6" t="s">
        <v>1927</v>
      </c>
      <c r="C453" s="6" t="n">
        <v>2017</v>
      </c>
      <c r="D453" s="6" t="s">
        <v>1928</v>
      </c>
      <c r="E453" s="6" t="s">
        <v>1929</v>
      </c>
      <c r="F453" s="6" t="s">
        <v>33</v>
      </c>
      <c r="G453" s="6" t="s">
        <v>147</v>
      </c>
      <c r="H453" s="6"/>
      <c r="I453" s="6"/>
      <c r="J453" s="6" t="n">
        <v>1</v>
      </c>
      <c r="K453" s="6"/>
      <c r="L453" s="6"/>
      <c r="M453" s="6"/>
      <c r="N453" s="6" t="s">
        <v>1100</v>
      </c>
      <c r="O453" s="6" t="s">
        <v>147</v>
      </c>
    </row>
    <row r="454" customFormat="false" ht="15" hidden="false" customHeight="false" outlineLevel="0" collapsed="false">
      <c r="A454" s="6" t="n">
        <v>451</v>
      </c>
      <c r="B454" s="6" t="s">
        <v>1930</v>
      </c>
      <c r="C454" s="6" t="n">
        <v>2017</v>
      </c>
      <c r="D454" s="6" t="s">
        <v>1931</v>
      </c>
      <c r="E454" s="6" t="s">
        <v>1600</v>
      </c>
      <c r="F454" s="6" t="s">
        <v>33</v>
      </c>
      <c r="G454" s="6" t="s">
        <v>147</v>
      </c>
      <c r="H454" s="6"/>
      <c r="I454" s="6"/>
      <c r="J454" s="6" t="n">
        <v>1</v>
      </c>
      <c r="K454" s="6"/>
      <c r="L454" s="6"/>
      <c r="M454" s="6"/>
      <c r="N454" s="6" t="s">
        <v>1100</v>
      </c>
      <c r="O454" s="6" t="s">
        <v>147</v>
      </c>
    </row>
    <row r="455" customFormat="false" ht="15" hidden="false" customHeight="false" outlineLevel="0" collapsed="false">
      <c r="A455" s="6" t="n">
        <v>452</v>
      </c>
      <c r="B455" s="6" t="s">
        <v>1932</v>
      </c>
      <c r="C455" s="6" t="n">
        <v>2017</v>
      </c>
      <c r="D455" s="6" t="s">
        <v>1933</v>
      </c>
      <c r="E455" s="6" t="s">
        <v>1600</v>
      </c>
      <c r="F455" s="6" t="s">
        <v>146</v>
      </c>
      <c r="G455" s="6" t="s">
        <v>147</v>
      </c>
      <c r="H455" s="6"/>
      <c r="I455" s="6"/>
      <c r="J455" s="6"/>
      <c r="K455" s="6"/>
      <c r="L455" s="6" t="n">
        <v>1</v>
      </c>
      <c r="M455" s="6" t="n">
        <v>1</v>
      </c>
      <c r="N455" s="6" t="s">
        <v>1183</v>
      </c>
      <c r="O455" s="6" t="s">
        <v>147</v>
      </c>
    </row>
    <row r="456" customFormat="false" ht="15" hidden="false" customHeight="false" outlineLevel="0" collapsed="false">
      <c r="A456" s="6" t="n">
        <v>453</v>
      </c>
      <c r="B456" s="6" t="s">
        <v>1934</v>
      </c>
      <c r="C456" s="6" t="n">
        <v>2017</v>
      </c>
      <c r="D456" s="6" t="s">
        <v>1935</v>
      </c>
      <c r="E456" s="6" t="s">
        <v>535</v>
      </c>
      <c r="F456" s="6" t="s">
        <v>33</v>
      </c>
      <c r="G456" s="6" t="s">
        <v>147</v>
      </c>
      <c r="H456" s="6"/>
      <c r="I456" s="6"/>
      <c r="J456" s="6" t="n">
        <v>1</v>
      </c>
      <c r="K456" s="6"/>
      <c r="L456" s="6"/>
      <c r="M456" s="6"/>
      <c r="N456" s="6" t="s">
        <v>1100</v>
      </c>
      <c r="O456" s="6" t="s">
        <v>147</v>
      </c>
    </row>
    <row r="457" customFormat="false" ht="15" hidden="false" customHeight="false" outlineLevel="0" collapsed="false">
      <c r="A457" s="6" t="n">
        <v>454</v>
      </c>
      <c r="B457" s="6" t="s">
        <v>1936</v>
      </c>
      <c r="C457" s="6" t="n">
        <v>2017</v>
      </c>
      <c r="D457" s="6" t="s">
        <v>1937</v>
      </c>
      <c r="E457" s="6" t="s">
        <v>535</v>
      </c>
      <c r="F457" s="6" t="s">
        <v>33</v>
      </c>
      <c r="G457" s="6" t="s">
        <v>147</v>
      </c>
      <c r="H457" s="6"/>
      <c r="I457" s="6"/>
      <c r="J457" s="6" t="n">
        <v>1</v>
      </c>
      <c r="K457" s="6"/>
      <c r="L457" s="6"/>
      <c r="M457" s="6"/>
      <c r="N457" s="6" t="s">
        <v>1100</v>
      </c>
      <c r="O457" s="6" t="s">
        <v>147</v>
      </c>
    </row>
    <row r="458" customFormat="false" ht="15" hidden="false" customHeight="false" outlineLevel="0" collapsed="false">
      <c r="A458" s="6" t="n">
        <v>455</v>
      </c>
      <c r="B458" s="6" t="s">
        <v>1938</v>
      </c>
      <c r="C458" s="6" t="n">
        <v>2017</v>
      </c>
      <c r="D458" s="6" t="s">
        <v>1939</v>
      </c>
      <c r="E458" s="6" t="s">
        <v>535</v>
      </c>
      <c r="F458" s="6" t="s">
        <v>33</v>
      </c>
      <c r="G458" s="6" t="s">
        <v>147</v>
      </c>
      <c r="H458" s="6"/>
      <c r="I458" s="6"/>
      <c r="J458" s="6"/>
      <c r="K458" s="6"/>
      <c r="L458" s="6"/>
      <c r="M458" s="6"/>
      <c r="N458" s="6" t="s">
        <v>1100</v>
      </c>
      <c r="O458" s="6" t="s">
        <v>147</v>
      </c>
    </row>
    <row r="459" customFormat="false" ht="15" hidden="false" customHeight="false" outlineLevel="0" collapsed="false">
      <c r="A459" s="6" t="n">
        <v>456</v>
      </c>
      <c r="B459" s="6" t="s">
        <v>706</v>
      </c>
      <c r="C459" s="6" t="n">
        <v>2017</v>
      </c>
      <c r="D459" s="6" t="s">
        <v>709</v>
      </c>
      <c r="E459" s="6" t="s">
        <v>535</v>
      </c>
      <c r="F459" s="6" t="s">
        <v>146</v>
      </c>
      <c r="G459" s="6" t="s">
        <v>146</v>
      </c>
      <c r="H459" s="6"/>
      <c r="I459" s="6" t="n">
        <v>1</v>
      </c>
      <c r="J459" s="6" t="n">
        <v>1</v>
      </c>
      <c r="K459" s="6" t="n">
        <v>1</v>
      </c>
      <c r="L459" s="6"/>
      <c r="M459" s="6"/>
      <c r="N459" s="6" t="s">
        <v>1100</v>
      </c>
      <c r="O459" s="6" t="s">
        <v>146</v>
      </c>
    </row>
    <row r="460" customFormat="false" ht="15" hidden="false" customHeight="false" outlineLevel="0" collapsed="false">
      <c r="A460" s="6" t="n">
        <v>457</v>
      </c>
      <c r="B460" s="6" t="s">
        <v>1940</v>
      </c>
      <c r="C460" s="6" t="n">
        <v>2017</v>
      </c>
      <c r="D460" s="6" t="s">
        <v>1941</v>
      </c>
      <c r="E460" s="6" t="s">
        <v>1600</v>
      </c>
      <c r="F460" s="6" t="s">
        <v>33</v>
      </c>
      <c r="G460" s="6" t="s">
        <v>147</v>
      </c>
      <c r="H460" s="6"/>
      <c r="I460" s="6"/>
      <c r="J460" s="6"/>
      <c r="K460" s="6"/>
      <c r="L460" s="6" t="n">
        <v>1</v>
      </c>
      <c r="M460" s="6"/>
      <c r="N460" s="6" t="s">
        <v>1100</v>
      </c>
      <c r="O460" s="6" t="s">
        <v>147</v>
      </c>
    </row>
    <row r="461" customFormat="false" ht="15" hidden="false" customHeight="false" outlineLevel="0" collapsed="false">
      <c r="A461" s="6" t="n">
        <v>458</v>
      </c>
      <c r="B461" s="6" t="s">
        <v>971</v>
      </c>
      <c r="C461" s="6" t="n">
        <v>2017</v>
      </c>
      <c r="D461" s="6" t="s">
        <v>974</v>
      </c>
      <c r="E461" s="6" t="s">
        <v>535</v>
      </c>
      <c r="F461" s="6" t="s">
        <v>146</v>
      </c>
      <c r="G461" s="6" t="s">
        <v>147</v>
      </c>
      <c r="H461" s="6"/>
      <c r="I461" s="6"/>
      <c r="J461" s="6"/>
      <c r="K461" s="6" t="n">
        <v>1</v>
      </c>
      <c r="L461" s="6"/>
      <c r="M461" s="6" t="n">
        <v>1</v>
      </c>
      <c r="N461" s="6" t="s">
        <v>1187</v>
      </c>
      <c r="O461" s="6" t="s">
        <v>146</v>
      </c>
    </row>
    <row r="462" customFormat="false" ht="15" hidden="false" customHeight="false" outlineLevel="0" collapsed="false">
      <c r="A462" s="6" t="n">
        <v>459</v>
      </c>
      <c r="B462" s="6" t="s">
        <v>1942</v>
      </c>
      <c r="C462" s="6" t="n">
        <v>2017</v>
      </c>
      <c r="D462" s="6" t="s">
        <v>1943</v>
      </c>
      <c r="E462" s="6" t="s">
        <v>535</v>
      </c>
      <c r="F462" s="6" t="s">
        <v>34</v>
      </c>
      <c r="G462" s="6" t="s">
        <v>147</v>
      </c>
      <c r="H462" s="6"/>
      <c r="I462" s="6"/>
      <c r="J462" s="6" t="n">
        <v>1</v>
      </c>
      <c r="K462" s="6"/>
      <c r="L462" s="6" t="n">
        <v>1</v>
      </c>
      <c r="M462" s="6"/>
      <c r="N462" s="6" t="s">
        <v>1165</v>
      </c>
      <c r="O462" s="6" t="s">
        <v>147</v>
      </c>
    </row>
    <row r="463" customFormat="false" ht="15" hidden="false" customHeight="false" outlineLevel="0" collapsed="false">
      <c r="A463" s="6" t="n">
        <v>460</v>
      </c>
      <c r="B463" s="6" t="s">
        <v>1944</v>
      </c>
      <c r="C463" s="6" t="n">
        <v>2017</v>
      </c>
      <c r="D463" s="6" t="s">
        <v>1945</v>
      </c>
      <c r="E463" s="6" t="s">
        <v>1600</v>
      </c>
      <c r="F463" s="6" t="s">
        <v>33</v>
      </c>
      <c r="G463" s="6" t="s">
        <v>147</v>
      </c>
      <c r="H463" s="6"/>
      <c r="I463" s="6"/>
      <c r="J463" s="6"/>
      <c r="K463" s="6"/>
      <c r="L463" s="6" t="n">
        <v>1</v>
      </c>
      <c r="M463" s="6"/>
      <c r="N463" s="6" t="s">
        <v>1100</v>
      </c>
      <c r="O463" s="6" t="s">
        <v>147</v>
      </c>
    </row>
    <row r="464" customFormat="false" ht="15" hidden="false" customHeight="false" outlineLevel="0" collapsed="false">
      <c r="A464" s="6" t="n">
        <v>461</v>
      </c>
      <c r="B464" s="6" t="s">
        <v>1946</v>
      </c>
      <c r="C464" s="6" t="n">
        <v>2017</v>
      </c>
      <c r="D464" s="6" t="s">
        <v>1947</v>
      </c>
      <c r="E464" s="6" t="s">
        <v>1600</v>
      </c>
      <c r="F464" s="6" t="s">
        <v>33</v>
      </c>
      <c r="G464" s="6" t="s">
        <v>147</v>
      </c>
      <c r="H464" s="6"/>
      <c r="I464" s="6"/>
      <c r="J464" s="6"/>
      <c r="K464" s="6"/>
      <c r="L464" s="6"/>
      <c r="M464" s="6"/>
      <c r="N464" s="6" t="s">
        <v>1100</v>
      </c>
      <c r="O464" s="6" t="s">
        <v>147</v>
      </c>
    </row>
    <row r="465" customFormat="false" ht="15" hidden="false" customHeight="false" outlineLevel="0" collapsed="false">
      <c r="A465" s="6" t="n">
        <v>462</v>
      </c>
      <c r="B465" s="6" t="s">
        <v>1948</v>
      </c>
      <c r="C465" s="6" t="n">
        <v>2017</v>
      </c>
      <c r="D465" s="6" t="s">
        <v>1949</v>
      </c>
      <c r="E465" s="6" t="s">
        <v>1950</v>
      </c>
      <c r="F465" s="6" t="s">
        <v>33</v>
      </c>
      <c r="G465" s="6" t="s">
        <v>147</v>
      </c>
      <c r="H465" s="6"/>
      <c r="I465" s="6" t="n">
        <v>1</v>
      </c>
      <c r="J465" s="6"/>
      <c r="K465" s="6"/>
      <c r="L465" s="6" t="n">
        <v>1</v>
      </c>
      <c r="M465" s="6"/>
      <c r="N465" s="6" t="s">
        <v>1100</v>
      </c>
      <c r="O465" s="6" t="s">
        <v>147</v>
      </c>
    </row>
    <row r="466" customFormat="false" ht="15" hidden="false" customHeight="false" outlineLevel="0" collapsed="false">
      <c r="A466" s="6" t="n">
        <v>463</v>
      </c>
      <c r="B466" s="6" t="s">
        <v>1951</v>
      </c>
      <c r="C466" s="6" t="n">
        <v>2016</v>
      </c>
      <c r="D466" s="6" t="s">
        <v>1952</v>
      </c>
      <c r="E466" s="6" t="s">
        <v>535</v>
      </c>
      <c r="F466" s="6" t="s">
        <v>33</v>
      </c>
      <c r="G466" s="6" t="s">
        <v>147</v>
      </c>
      <c r="H466" s="6"/>
      <c r="I466" s="6"/>
      <c r="J466" s="6"/>
      <c r="K466" s="6"/>
      <c r="L466" s="6"/>
      <c r="M466" s="6"/>
      <c r="N466" s="6" t="s">
        <v>1100</v>
      </c>
      <c r="O466" s="6" t="s">
        <v>147</v>
      </c>
    </row>
    <row r="467" customFormat="false" ht="15" hidden="false" customHeight="false" outlineLevel="0" collapsed="false">
      <c r="A467" s="6" t="n">
        <v>464</v>
      </c>
      <c r="B467" s="6" t="s">
        <v>775</v>
      </c>
      <c r="C467" s="6" t="n">
        <v>2016</v>
      </c>
      <c r="D467" s="6" t="s">
        <v>778</v>
      </c>
      <c r="E467" s="6" t="s">
        <v>779</v>
      </c>
      <c r="F467" s="6" t="s">
        <v>146</v>
      </c>
      <c r="G467" s="6" t="s">
        <v>147</v>
      </c>
      <c r="H467" s="6"/>
      <c r="I467" s="6" t="n">
        <v>1</v>
      </c>
      <c r="J467" s="6"/>
      <c r="K467" s="6" t="n">
        <v>1</v>
      </c>
      <c r="L467" s="6" t="n">
        <v>1</v>
      </c>
      <c r="M467" s="6" t="n">
        <v>1</v>
      </c>
      <c r="N467" s="6" t="s">
        <v>1187</v>
      </c>
      <c r="O467" s="6" t="s">
        <v>146</v>
      </c>
    </row>
    <row r="468" customFormat="false" ht="15" hidden="false" customHeight="false" outlineLevel="0" collapsed="false">
      <c r="A468" s="6" t="n">
        <v>465</v>
      </c>
      <c r="B468" s="6" t="s">
        <v>840</v>
      </c>
      <c r="C468" s="6" t="n">
        <v>2016</v>
      </c>
      <c r="D468" s="6" t="s">
        <v>843</v>
      </c>
      <c r="E468" s="6" t="s">
        <v>844</v>
      </c>
      <c r="F468" s="6" t="s">
        <v>146</v>
      </c>
      <c r="G468" s="6" t="s">
        <v>146</v>
      </c>
      <c r="H468" s="6"/>
      <c r="I468" s="6" t="n">
        <v>1</v>
      </c>
      <c r="J468" s="6" t="n">
        <v>1</v>
      </c>
      <c r="K468" s="6" t="n">
        <v>1</v>
      </c>
      <c r="L468" s="6" t="n">
        <v>1</v>
      </c>
      <c r="M468" s="6"/>
      <c r="N468" s="6" t="s">
        <v>1100</v>
      </c>
      <c r="O468" s="6" t="s">
        <v>146</v>
      </c>
    </row>
    <row r="469" customFormat="false" ht="15" hidden="false" customHeight="false" outlineLevel="0" collapsed="false">
      <c r="A469" s="6" t="n">
        <v>466</v>
      </c>
      <c r="B469" s="6" t="s">
        <v>1953</v>
      </c>
      <c r="C469" s="6" t="n">
        <v>2016</v>
      </c>
      <c r="D469" s="6" t="s">
        <v>1954</v>
      </c>
      <c r="E469" s="6" t="s">
        <v>314</v>
      </c>
      <c r="F469" s="6" t="s">
        <v>33</v>
      </c>
      <c r="G469" s="6" t="s">
        <v>146</v>
      </c>
      <c r="H469" s="6" t="n">
        <v>1</v>
      </c>
      <c r="I469" s="6"/>
      <c r="J469" s="6" t="n">
        <v>1</v>
      </c>
      <c r="K469" s="6"/>
      <c r="L469" s="6"/>
      <c r="M469" s="6" t="n">
        <v>1</v>
      </c>
      <c r="N469" s="6" t="s">
        <v>1183</v>
      </c>
      <c r="O469" s="6" t="s">
        <v>147</v>
      </c>
    </row>
    <row r="470" customFormat="false" ht="15" hidden="false" customHeight="false" outlineLevel="0" collapsed="false">
      <c r="A470" s="6" t="n">
        <v>467</v>
      </c>
      <c r="B470" s="6" t="s">
        <v>1955</v>
      </c>
      <c r="C470" s="6" t="n">
        <v>2016</v>
      </c>
      <c r="D470" s="6" t="s">
        <v>1956</v>
      </c>
      <c r="E470" s="6" t="s">
        <v>1957</v>
      </c>
      <c r="F470" s="6" t="s">
        <v>33</v>
      </c>
      <c r="G470" s="6" t="s">
        <v>147</v>
      </c>
      <c r="H470" s="6"/>
      <c r="I470" s="6"/>
      <c r="J470" s="6"/>
      <c r="K470" s="6"/>
      <c r="L470" s="6"/>
      <c r="M470" s="6"/>
      <c r="N470" s="6" t="s">
        <v>1100</v>
      </c>
      <c r="O470" s="6" t="s">
        <v>147</v>
      </c>
    </row>
    <row r="471" customFormat="false" ht="15" hidden="false" customHeight="false" outlineLevel="0" collapsed="false">
      <c r="A471" s="6" t="n">
        <v>468</v>
      </c>
      <c r="B471" s="6" t="s">
        <v>1958</v>
      </c>
      <c r="C471" s="6" t="n">
        <v>2016</v>
      </c>
      <c r="D471" s="6" t="s">
        <v>1959</v>
      </c>
      <c r="E471" s="6" t="s">
        <v>1960</v>
      </c>
      <c r="F471" s="6" t="s">
        <v>33</v>
      </c>
      <c r="G471" s="6" t="s">
        <v>147</v>
      </c>
      <c r="H471" s="6"/>
      <c r="I471" s="6"/>
      <c r="J471" s="6" t="n">
        <v>1</v>
      </c>
      <c r="K471" s="6"/>
      <c r="L471" s="6"/>
      <c r="M471" s="6"/>
      <c r="N471" s="6" t="s">
        <v>1100</v>
      </c>
      <c r="O471" s="6" t="s">
        <v>147</v>
      </c>
    </row>
    <row r="472" customFormat="false" ht="15" hidden="false" customHeight="false" outlineLevel="0" collapsed="false">
      <c r="A472" s="6" t="n">
        <v>469</v>
      </c>
      <c r="B472" s="6" t="s">
        <v>1961</v>
      </c>
      <c r="C472" s="6" t="n">
        <v>2016</v>
      </c>
      <c r="D472" s="6" t="s">
        <v>1962</v>
      </c>
      <c r="E472" s="6" t="s">
        <v>1963</v>
      </c>
      <c r="F472" s="6" t="s">
        <v>33</v>
      </c>
      <c r="G472" s="6" t="s">
        <v>147</v>
      </c>
      <c r="H472" s="6"/>
      <c r="I472" s="6"/>
      <c r="J472" s="6"/>
      <c r="K472" s="6"/>
      <c r="L472" s="6" t="n">
        <v>1</v>
      </c>
      <c r="M472" s="6"/>
      <c r="N472" s="6" t="s">
        <v>1100</v>
      </c>
      <c r="O472" s="6" t="s">
        <v>147</v>
      </c>
    </row>
  </sheetData>
  <autoFilter ref="A3:O4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50"/>
    <col collapsed="false" customWidth="true" hidden="false" outlineLevel="0" max="4" min="4" style="0" width="70"/>
  </cols>
  <sheetData>
    <row r="1" customFormat="false" ht="16.15" hidden="false" customHeight="false" outlineLevel="0" collapsed="false">
      <c r="A1" s="1" t="s">
        <v>1964</v>
      </c>
    </row>
    <row r="2" customFormat="false" ht="15" hidden="false" customHeight="false" outlineLevel="0" collapsed="false">
      <c r="A2" s="4" t="s">
        <v>1965</v>
      </c>
    </row>
    <row r="3" customFormat="false" ht="15" hidden="false" customHeight="false" outlineLevel="0" collapsed="false">
      <c r="A3" s="5" t="s">
        <v>1087</v>
      </c>
      <c r="B3" s="5" t="s">
        <v>1966</v>
      </c>
      <c r="C3" s="5" t="s">
        <v>1967</v>
      </c>
      <c r="D3" s="5" t="s">
        <v>1968</v>
      </c>
    </row>
    <row r="4" customFormat="false" ht="15" hidden="false" customHeight="false" outlineLevel="0" collapsed="false">
      <c r="A4" s="6" t="n">
        <v>1</v>
      </c>
      <c r="B4" s="6" t="s">
        <v>226</v>
      </c>
      <c r="C4" s="6" t="s">
        <v>1969</v>
      </c>
      <c r="D4" s="6" t="s">
        <v>226</v>
      </c>
    </row>
    <row r="5" customFormat="false" ht="15" hidden="false" customHeight="false" outlineLevel="0" collapsed="false">
      <c r="A5" s="6" t="n">
        <v>2</v>
      </c>
      <c r="B5" s="6" t="s">
        <v>1970</v>
      </c>
      <c r="C5" s="6" t="s">
        <v>1971</v>
      </c>
      <c r="D5" s="6" t="s">
        <v>1970</v>
      </c>
    </row>
    <row r="6" customFormat="false" ht="15" hidden="false" customHeight="false" outlineLevel="0" collapsed="false">
      <c r="A6" s="6" t="n">
        <v>3</v>
      </c>
      <c r="B6" s="6" t="s">
        <v>1972</v>
      </c>
      <c r="C6" s="6" t="s">
        <v>1973</v>
      </c>
      <c r="D6" s="6" t="s">
        <v>1974</v>
      </c>
    </row>
    <row r="7" customFormat="false" ht="15" hidden="false" customHeight="false" outlineLevel="0" collapsed="false">
      <c r="A7" s="6" t="n">
        <v>4</v>
      </c>
      <c r="B7" s="6" t="s">
        <v>1972</v>
      </c>
      <c r="C7" s="6" t="s">
        <v>1975</v>
      </c>
      <c r="D7" s="6" t="s">
        <v>1976</v>
      </c>
    </row>
    <row r="8" customFormat="false" ht="15" hidden="false" customHeight="false" outlineLevel="0" collapsed="false">
      <c r="A8" s="6" t="n">
        <v>5</v>
      </c>
      <c r="B8" s="6" t="s">
        <v>1977</v>
      </c>
      <c r="C8" s="6" t="s">
        <v>1978</v>
      </c>
      <c r="D8" s="6" t="s">
        <v>1979</v>
      </c>
    </row>
    <row r="9" customFormat="false" ht="15" hidden="false" customHeight="false" outlineLevel="0" collapsed="false">
      <c r="A9" s="6" t="n">
        <v>6</v>
      </c>
      <c r="B9" s="6" t="s">
        <v>1977</v>
      </c>
      <c r="C9" s="6" t="s">
        <v>1980</v>
      </c>
      <c r="D9" s="6" t="s">
        <v>1981</v>
      </c>
    </row>
    <row r="10" customFormat="false" ht="15" hidden="false" customHeight="false" outlineLevel="0" collapsed="false">
      <c r="A10" s="6" t="n">
        <v>7</v>
      </c>
      <c r="B10" s="6" t="s">
        <v>1977</v>
      </c>
      <c r="C10" s="6" t="s">
        <v>1982</v>
      </c>
      <c r="D10" s="6" t="s">
        <v>1983</v>
      </c>
    </row>
    <row r="11" customFormat="false" ht="15" hidden="false" customHeight="false" outlineLevel="0" collapsed="false">
      <c r="A11" s="6" t="n">
        <v>8</v>
      </c>
      <c r="B11" s="6" t="s">
        <v>1977</v>
      </c>
      <c r="C11" s="6" t="s">
        <v>1984</v>
      </c>
      <c r="D11" s="6" t="s">
        <v>1985</v>
      </c>
    </row>
    <row r="12" customFormat="false" ht="15" hidden="false" customHeight="false" outlineLevel="0" collapsed="false">
      <c r="A12" s="6" t="n">
        <v>9</v>
      </c>
      <c r="B12" s="6" t="s">
        <v>1977</v>
      </c>
      <c r="C12" s="6" t="s">
        <v>1986</v>
      </c>
      <c r="D12" s="6" t="s">
        <v>1987</v>
      </c>
    </row>
    <row r="13" customFormat="false" ht="15" hidden="false" customHeight="false" outlineLevel="0" collapsed="false">
      <c r="A13" s="6" t="n">
        <v>10</v>
      </c>
      <c r="B13" s="6" t="s">
        <v>1977</v>
      </c>
      <c r="C13" s="6" t="s">
        <v>1988</v>
      </c>
      <c r="D13" s="6" t="s">
        <v>1989</v>
      </c>
    </row>
    <row r="14" customFormat="false" ht="15" hidden="false" customHeight="false" outlineLevel="0" collapsed="false">
      <c r="A14" s="6" t="n">
        <v>11</v>
      </c>
      <c r="B14" s="6" t="s">
        <v>1977</v>
      </c>
      <c r="C14" s="6" t="s">
        <v>1990</v>
      </c>
      <c r="D14" s="6" t="s">
        <v>1991</v>
      </c>
    </row>
    <row r="15" customFormat="false" ht="15" hidden="false" customHeight="false" outlineLevel="0" collapsed="false">
      <c r="A15" s="6" t="n">
        <v>12</v>
      </c>
      <c r="B15" s="6" t="s">
        <v>1977</v>
      </c>
      <c r="C15" s="6" t="s">
        <v>1992</v>
      </c>
      <c r="D15" s="6" t="s">
        <v>1993</v>
      </c>
    </row>
    <row r="16" customFormat="false" ht="15" hidden="false" customHeight="false" outlineLevel="0" collapsed="false">
      <c r="A16" s="6" t="n">
        <v>13</v>
      </c>
      <c r="B16" s="6" t="s">
        <v>1977</v>
      </c>
      <c r="C16" s="6" t="s">
        <v>1994</v>
      </c>
      <c r="D16" s="6" t="s">
        <v>1995</v>
      </c>
    </row>
    <row r="17" customFormat="false" ht="15" hidden="false" customHeight="false" outlineLevel="0" collapsed="false">
      <c r="A17" s="6" t="n">
        <v>14</v>
      </c>
      <c r="B17" s="6" t="s">
        <v>1996</v>
      </c>
      <c r="C17" s="6" t="s">
        <v>1986</v>
      </c>
      <c r="D17" s="6" t="s">
        <v>1997</v>
      </c>
    </row>
    <row r="18" customFormat="false" ht="15" hidden="false" customHeight="false" outlineLevel="0" collapsed="false">
      <c r="A18" s="6" t="n">
        <v>15</v>
      </c>
      <c r="B18" s="6" t="s">
        <v>1996</v>
      </c>
      <c r="C18" s="6" t="s">
        <v>1998</v>
      </c>
      <c r="D18" s="6" t="s">
        <v>1999</v>
      </c>
    </row>
    <row r="19" customFormat="false" ht="15" hidden="false" customHeight="false" outlineLevel="0" collapsed="false">
      <c r="A19" s="6" t="n">
        <v>16</v>
      </c>
      <c r="B19" s="6" t="s">
        <v>1996</v>
      </c>
      <c r="C19" s="6" t="s">
        <v>2000</v>
      </c>
      <c r="D19" s="6" t="s">
        <v>2001</v>
      </c>
    </row>
    <row r="20" customFormat="false" ht="15" hidden="false" customHeight="false" outlineLevel="0" collapsed="false">
      <c r="A20" s="6" t="n">
        <v>17</v>
      </c>
      <c r="B20" s="6" t="s">
        <v>1996</v>
      </c>
      <c r="C20" s="6" t="s">
        <v>2002</v>
      </c>
      <c r="D20" s="6" t="s">
        <v>2003</v>
      </c>
    </row>
    <row r="21" customFormat="false" ht="15" hidden="false" customHeight="false" outlineLevel="0" collapsed="false">
      <c r="A21" s="6" t="n">
        <v>18</v>
      </c>
      <c r="B21" s="6" t="s">
        <v>1996</v>
      </c>
      <c r="C21" s="6" t="s">
        <v>1994</v>
      </c>
      <c r="D21" s="6" t="s">
        <v>2004</v>
      </c>
    </row>
    <row r="22" customFormat="false" ht="15" hidden="false" customHeight="false" outlineLevel="0" collapsed="false">
      <c r="A22" s="6" t="n">
        <v>19</v>
      </c>
      <c r="B22" s="6" t="s">
        <v>2005</v>
      </c>
      <c r="C22" s="6" t="s">
        <v>2006</v>
      </c>
      <c r="D22" s="6" t="s">
        <v>2005</v>
      </c>
    </row>
    <row r="23" customFormat="false" ht="15" hidden="false" customHeight="false" outlineLevel="0" collapsed="false">
      <c r="A23" s="6" t="n">
        <v>20</v>
      </c>
      <c r="B23" s="6" t="s">
        <v>2005</v>
      </c>
      <c r="C23" s="6" t="s">
        <v>2007</v>
      </c>
      <c r="D23" s="6" t="s">
        <v>2007</v>
      </c>
    </row>
    <row r="24" customFormat="false" ht="15" hidden="false" customHeight="false" outlineLevel="0" collapsed="false">
      <c r="A24" s="6" t="n">
        <v>21</v>
      </c>
      <c r="B24" s="6" t="s">
        <v>2005</v>
      </c>
      <c r="C24" s="6" t="s">
        <v>2008</v>
      </c>
      <c r="D24" s="6" t="s">
        <v>2009</v>
      </c>
    </row>
    <row r="25" customFormat="false" ht="15" hidden="false" customHeight="false" outlineLevel="0" collapsed="false">
      <c r="A25" s="6" t="n">
        <v>22</v>
      </c>
      <c r="B25" s="6" t="s">
        <v>2010</v>
      </c>
      <c r="C25" s="6" t="s">
        <v>2010</v>
      </c>
      <c r="D25" s="6" t="s">
        <v>2011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2026-10-27T21:44:50Z</dcterms:created>
  <dc:creator>openpyxl</dc:creator>
  <dc:description/>
  <dc:language>en-US</dc:language>
  <cp:lastModifiedBy/>
  <dcterms:modified xsi:type="dcterms:W3CDTF">2026-10-27T21:44:53Z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